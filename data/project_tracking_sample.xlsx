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ภาพรวม" sheetId="1" state="visible" r:id="rId3"/>
    <sheet name="ทีมงาน" sheetId="2" state="visible" r:id="rId4"/>
    <sheet name="งานทั้งหมด" sheetId="3" state="visible" r:id="rId5"/>
  </sheets>
  <definedNames>
    <definedName function="false" hidden="true" localSheetId="2" name="_xlnm._FilterDatabase" vbProcedure="false">งานทั้งหมด!$A$4:$N$50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<sst xmlns="http://schemas.openxmlformats.org/spreadsheetml/2006/main" count="399" uniqueCount="215">
  <si>
    <t xml:space="preserve">Project Tracking — ทีมการตลาดดิจิทัล (ข้อมูลตัวอย่าง)</t>
  </si>
  <si>
    <t xml:space="preserve">วันที่ตรวจสอบ</t>
  </si>
  <si>
    <t xml:space="preserve">งานทั้งหมด</t>
  </si>
  <si>
    <t xml:space="preserve">งานเสร็จแล้ว</t>
  </si>
  <si>
    <t xml:space="preserve">อัตราความสำเร็จ</t>
  </si>
  <si>
    <t xml:space="preserve">งานเกินกำหนด</t>
  </si>
  <si>
    <t xml:space="preserve">ชั่วโมงประเมินรวม</t>
  </si>
  <si>
    <t xml:space="preserve">ชั่วโมงใช้จริงรวม</t>
  </si>
  <si>
    <t xml:space="preserve">สรุปรายบุคคล</t>
  </si>
  <si>
    <t xml:space="preserve">ผู้รับผิดชอบ</t>
  </si>
  <si>
    <t xml:space="preserve">ตำแหน่ง</t>
  </si>
  <si>
    <t xml:space="preserve">ยังไม่เริ่ม</t>
  </si>
  <si>
    <t xml:space="preserve">กำลังดำเนินการ</t>
  </si>
  <si>
    <t xml:space="preserve">รอตรวจ</t>
  </si>
  <si>
    <t xml:space="preserve">เสร็จแล้ว</t>
  </si>
  <si>
    <t xml:space="preserve">เกินกำหนด</t>
  </si>
  <si>
    <t xml:space="preserve">ชั่วโมงประเมิน</t>
  </si>
  <si>
    <t xml:space="preserve">ชั่วโมงจริง</t>
  </si>
  <si>
    <t xml:space="preserve">% เสร็จ</t>
  </si>
  <si>
    <t xml:space="preserve">ประเมิน ÷ จริง</t>
  </si>
  <si>
    <t xml:space="preserve">รวมทั้งทีม</t>
  </si>
  <si>
    <t xml:space="preserve">หมายเหตุการใช้งาน</t>
  </si>
  <si>
    <t xml:space="preserve">1. เพิ่มงานใหม่ได้ที่ชีต 'งานทั้งหมด' ต่อท้ายแถวสุดท้าย สูตรในคอลัมน์ L และ M จะคำนวณให้อัตโนมัติ</t>
  </si>
  <si>
    <t xml:space="preserve">2. ผู้รับผิดชอบเลือกจากรายชื่อในชีต 'ทีมงาน' (ดรอปดาวน์) ทั้งหมด 11 คน (หัวหน้า 1 + ลูกน้อง 10)</t>
  </si>
  <si>
    <t xml:space="preserve">3. 'เกินกำหนด' = ยังไม่เสร็จและวันที่ปัจจุบันเลยกำหนดเสร็จแล้ว / 'ใกล้ครบกำหนด' = เหลือไม่เกิน 3 วัน</t>
  </si>
  <si>
    <t xml:space="preserve">4. ข้อมูลทั้งหมดเป็นตัวอย่างสมมติ ชื่อและลูกค้าไม่ใช่บุคคลหรือบริษัทจริง</t>
  </si>
  <si>
    <t xml:space="preserve">รายชื่อทีมงาน — ทีมการตลาดดิจิทัล</t>
  </si>
  <si>
    <t xml:space="preserve">หัวหน้า 1 คน / ลูกน้อง 10 คน (ข้อมูลตัวอย่าง)</t>
  </si>
  <si>
    <t xml:space="preserve">ลำดับ</t>
  </si>
  <si>
    <t xml:space="preserve">ชื่อ</t>
  </si>
  <si>
    <t xml:space="preserve">หน้าที่หลัก</t>
  </si>
  <si>
    <t xml:space="preserve">อีเมล</t>
  </si>
  <si>
    <t xml:space="preserve">วันเริ่มงาน</t>
  </si>
  <si>
    <t xml:space="preserve">ระดับ</t>
  </si>
  <si>
    <t xml:space="preserve">วิภา</t>
  </si>
  <si>
    <t xml:space="preserve">หัวหน้าทีม (Team Lead)</t>
  </si>
  <si>
    <t xml:space="preserve">วางแผนงาน ติดตามความคืบหน้า รีวิวงานก่อนส่งลูกค้า</t>
  </si>
  <si>
    <t xml:space="preserve">vipa@example.com</t>
  </si>
  <si>
    <t xml:space="preserve">ระดับ 5</t>
  </si>
  <si>
    <t xml:space="preserve">ณัฐวุฒิ</t>
  </si>
  <si>
    <t xml:space="preserve">Senior Graphic Designer</t>
  </si>
  <si>
    <t xml:space="preserve">ออกแบบ Key Visual สื่อโฆษณา และ Banner</t>
  </si>
  <si>
    <t xml:space="preserve">nattawut@example.com</t>
  </si>
  <si>
    <t xml:space="preserve">ระดับ 4</t>
  </si>
  <si>
    <t xml:space="preserve">นภา</t>
  </si>
  <si>
    <t xml:space="preserve">Content Writer</t>
  </si>
  <si>
    <t xml:space="preserve">เขียนคอนเทนต์ Social Media และคำบรรยายสินค้า</t>
  </si>
  <si>
    <t xml:space="preserve">napa@example.com</t>
  </si>
  <si>
    <t xml:space="preserve">ระดับ 3</t>
  </si>
  <si>
    <t xml:space="preserve">ปิยะ</t>
  </si>
  <si>
    <t xml:space="preserve">Photographer &amp; Video Producer</t>
  </si>
  <si>
    <t xml:space="preserve">ถ่ายภาพ ถ่ายวิดีโอ และวางแผนคอนเทนต์วิดีโอ</t>
  </si>
  <si>
    <t xml:space="preserve">piya@example.com</t>
  </si>
  <si>
    <t xml:space="preserve">ธนพล</t>
  </si>
  <si>
    <t xml:space="preserve">Performance Marketer</t>
  </si>
  <si>
    <t xml:space="preserve">ดูแลแคมเปญ Facebook / Google Ads และวิเคราะห์ผล</t>
  </si>
  <si>
    <t xml:space="preserve">thanaphon@example.com</t>
  </si>
  <si>
    <t xml:space="preserve">ศุภกิจ</t>
  </si>
  <si>
    <t xml:space="preserve">Web Developer</t>
  </si>
  <si>
    <t xml:space="preserve">พัฒนาและดูแลเว็บไซต์ Landing Page และระบบ Tracking</t>
  </si>
  <si>
    <t xml:space="preserve">supakit@example.com</t>
  </si>
  <si>
    <t xml:space="preserve">อรทัย</t>
  </si>
  <si>
    <t xml:space="preserve">Data Analyst</t>
  </si>
  <si>
    <t xml:space="preserve">ตั้งค่า Analytics และจัดทำรายงานยอดขาย</t>
  </si>
  <si>
    <t xml:space="preserve">orathai@example.com</t>
  </si>
  <si>
    <t xml:space="preserve">ชลธิชา</t>
  </si>
  <si>
    <t xml:space="preserve">SEO Specialist</t>
  </si>
  <si>
    <t xml:space="preserve">วิจัยคีย์เวิร์ด ทำ SEO และเขียนบทความ</t>
  </si>
  <si>
    <t xml:space="preserve">cholticha@example.com</t>
  </si>
  <si>
    <t xml:space="preserve">กมลชนก</t>
  </si>
  <si>
    <t xml:space="preserve">Social Media Executive</t>
  </si>
  <si>
    <t xml:space="preserve">ดูแล Fanpage, LINE OA และตัดต่อวิดีโอสั้น</t>
  </si>
  <si>
    <t xml:space="preserve">kamolchanok@example.com</t>
  </si>
  <si>
    <t xml:space="preserve">ระดับ 2</t>
  </si>
  <si>
    <t xml:space="preserve">รัชนก</t>
  </si>
  <si>
    <t xml:space="preserve">Account Executive</t>
  </si>
  <si>
    <t xml:space="preserve">ประสานงานลูกค้า Influencer และติดตามสัญญา</t>
  </si>
  <si>
    <t xml:space="preserve">ratchanok@example.com</t>
  </si>
  <si>
    <t xml:space="preserve">ภัทรพล</t>
  </si>
  <si>
    <t xml:space="preserve">Junior Graphic Designer</t>
  </si>
  <si>
    <t xml:space="preserve">ออกแบบ Infographic และตัดต่อ Reels</t>
  </si>
  <si>
    <t xml:space="preserve">phatthaphon@example.com</t>
  </si>
  <si>
    <t xml:space="preserve">ระดับ 1</t>
  </si>
  <si>
    <t xml:space="preserve">งานทั้งหมด — Project Tracking</t>
  </si>
  <si>
    <t xml:space="preserve">กรอกเฉพาะคอลัมน์สีขาว ส่วนคอลัมน์ L และ M คำนวณอัตโนมัติ</t>
  </si>
  <si>
    <t xml:space="preserve">รหัสงาน</t>
  </si>
  <si>
    <t xml:space="preserve">ลูกค้า / โครงการ</t>
  </si>
  <si>
    <t xml:space="preserve">ชื่องาน</t>
  </si>
  <si>
    <t xml:space="preserve">ความสำคัญ</t>
  </si>
  <si>
    <t xml:space="preserve">สถานะ</t>
  </si>
  <si>
    <t xml:space="preserve">วันเริ่ม</t>
  </si>
  <si>
    <t xml:space="preserve">กำหนดเสร็จ</t>
  </si>
  <si>
    <t xml:space="preserve">% ความคืบหน้า</t>
  </si>
  <si>
    <t xml:space="preserve">วันคงเหลือ</t>
  </si>
  <si>
    <t xml:space="preserve">สถานะเวลา</t>
  </si>
  <si>
    <t xml:space="preserve">หมายเหตุ</t>
  </si>
  <si>
    <t xml:space="preserve">T-001</t>
  </si>
  <si>
    <t xml:space="preserve">บ้านสวน คาเฟ่</t>
  </si>
  <si>
    <t xml:space="preserve">ออกแบบ Key Visual แคมเปญปีใหม่</t>
  </si>
  <si>
    <t xml:space="preserve">สูง</t>
  </si>
  <si>
    <t xml:space="preserve">ลูกค้าอนุมัติแล้ว</t>
  </si>
  <si>
    <t xml:space="preserve">T-002</t>
  </si>
  <si>
    <t xml:space="preserve">เขียนคอนเทนต์ Facebook 12 โพสต์ เดือนตุลาคม</t>
  </si>
  <si>
    <t xml:space="preserve">กลาง</t>
  </si>
  <si>
    <t xml:space="preserve">T-003</t>
  </si>
  <si>
    <t xml:space="preserve">ถ่ายภาพสินค้าเมนูฤดูหนาว</t>
  </si>
  <si>
    <t xml:space="preserve">ใช้เวลาเพิ่มจากการจัดแสง</t>
  </si>
  <si>
    <t xml:space="preserve">T-004</t>
  </si>
  <si>
    <t xml:space="preserve">ตั้งค่าแคมเปญ Facebook Ads งบ 15,000 บาท</t>
  </si>
  <si>
    <t xml:space="preserve">CPC ยังสูงกว่าเป้า 20%</t>
  </si>
  <si>
    <t xml:space="preserve">T-005</t>
  </si>
  <si>
    <t xml:space="preserve">ทำ Story Highlight และ Cover ใหม่</t>
  </si>
  <si>
    <t xml:space="preserve">ต่ำ</t>
  </si>
  <si>
    <t xml:space="preserve">T-006</t>
  </si>
  <si>
    <t xml:space="preserve">เตรียมคอนเทนต์รับเทศกาลปีใหม่ 2570</t>
  </si>
  <si>
    <t xml:space="preserve">รอ Brief จากลูกค้า</t>
  </si>
  <si>
    <t xml:space="preserve">T-007</t>
  </si>
  <si>
    <t xml:space="preserve">โรงแรม ริมน้ำ</t>
  </si>
  <si>
    <t xml:space="preserve">ทำเว็บไซต์หน้าจองห้องพักรูปแบบใหม่</t>
  </si>
  <si>
    <t xml:space="preserve">ทำ Responsive เสร็จแล้ว รอ Payment Gateway</t>
  </si>
  <si>
    <t xml:space="preserve">T-008</t>
  </si>
  <si>
    <t xml:space="preserve">วิเคราะห์คู่แข่ง 5 โรงแรมในพื้นที่เชียงใหม่</t>
  </si>
  <si>
    <t xml:space="preserve">T-009</t>
  </si>
  <si>
    <t xml:space="preserve">ทำ SEO คีย์เวิร์ด "ที่พักริมน้ำ" 20 บทความ</t>
  </si>
  <si>
    <t xml:space="preserve">T-010</t>
  </si>
  <si>
    <t xml:space="preserve">ตัดต่อวิดีโอแนะนำห้องพัก 60 วินาที</t>
  </si>
  <si>
    <t xml:space="preserve">ส่งให้หัวหน้ารีวิว</t>
  </si>
  <si>
    <t xml:space="preserve">T-011</t>
  </si>
  <si>
    <t xml:space="preserve">รายงานผลแคมเปญประจำเดือน ก.ย.</t>
  </si>
  <si>
    <t xml:space="preserve">T-012</t>
  </si>
  <si>
    <t xml:space="preserve">ทำรายงาน SEO Monthly ก.ย.</t>
  </si>
  <si>
    <t xml:space="preserve">T-013</t>
  </si>
  <si>
    <t xml:space="preserve">ทดสอบความเร็วเว็บและแก้ Core Web Vitals</t>
  </si>
  <si>
    <t xml:space="preserve">รอทีมเว็บปิดงานหน้าจอง</t>
  </si>
  <si>
    <t xml:space="preserve">T-014</t>
  </si>
  <si>
    <t xml:space="preserve">ประสานงานรีวิวจากลูกค้าเข้าพัก 10 ราย</t>
  </si>
  <si>
    <t xml:space="preserve">T-015</t>
  </si>
  <si>
    <t xml:space="preserve">คลินิกผิวหน้า ลูมิเน่</t>
  </si>
  <si>
    <t xml:space="preserve">ออกแบบโบรชัวร์บริการ 3 หน้า</t>
  </si>
  <si>
    <t xml:space="preserve">T-016</t>
  </si>
  <si>
    <t xml:space="preserve">วางแผนคอนเทนต์ TikTok 8 คลิป</t>
  </si>
  <si>
    <t xml:space="preserve">เหลือถ่ายอีก 2 คลิป</t>
  </si>
  <si>
    <t xml:space="preserve">T-017</t>
  </si>
  <si>
    <t xml:space="preserve">ตอบคอมเมนต์และ Inbox ประจำสัปดาห์</t>
  </si>
  <si>
    <t xml:space="preserve">งานต่อเนื่องรายสัปดาห์</t>
  </si>
  <si>
    <t xml:space="preserve">T-018</t>
  </si>
  <si>
    <t xml:space="preserve">ทำ Landing Page แคมเปญฟรีค่าปรึกษา</t>
  </si>
  <si>
    <t xml:space="preserve">T-019</t>
  </si>
  <si>
    <t xml:space="preserve">ตั้งระบบติดตาม Lead จากฟอร์มเว็บ</t>
  </si>
  <si>
    <t xml:space="preserve">T-020</t>
  </si>
  <si>
    <t xml:space="preserve">ตรวจสอบ Pixel และ Conversion</t>
  </si>
  <si>
    <t xml:space="preserve">T-021</t>
  </si>
  <si>
    <t xml:space="preserve">แบรนด์เครื่องสำอาง ไพร์ม</t>
  </si>
  <si>
    <t xml:space="preserve">ถ่าย Product Shoot ชุด Serum ใหม่</t>
  </si>
  <si>
    <t xml:space="preserve">T-022</t>
  </si>
  <si>
    <t xml:space="preserve">ออกแบบ Banner Shopee 10 ชิ้น</t>
  </si>
  <si>
    <t xml:space="preserve">T-023</t>
  </si>
  <si>
    <t xml:space="preserve">เขียนคำบรรยายสินค้า 25 รายการ</t>
  </si>
  <si>
    <t xml:space="preserve">T-024</t>
  </si>
  <si>
    <t xml:space="preserve">ตั้งค่า Google Analytics 4 และ Event Tracking</t>
  </si>
  <si>
    <t xml:space="preserve">T-025</t>
  </si>
  <si>
    <t xml:space="preserve">ทำรายงานยอดขายจาก Shopee และ Lazada</t>
  </si>
  <si>
    <t xml:space="preserve">T-026</t>
  </si>
  <si>
    <t xml:space="preserve">ทำ Influencer Brief 5 คน</t>
  </si>
  <si>
    <t xml:space="preserve">T-027</t>
  </si>
  <si>
    <t xml:space="preserve">ติดต่อ Influencer และส่งสินค้าตัวอย่าง</t>
  </si>
  <si>
    <t xml:space="preserve">ส่งสินค้าครบ 5 ราย</t>
  </si>
  <si>
    <t xml:space="preserve">T-028</t>
  </si>
  <si>
    <t xml:space="preserve">ทำ Email Newsletter ฉบับตุลาคม</t>
  </si>
  <si>
    <t xml:space="preserve">T-029</t>
  </si>
  <si>
    <t xml:space="preserve">โรงเรียนซันไรส์</t>
  </si>
  <si>
    <t xml:space="preserve">ออกแบบโปสเตอร์รับสมัครนักเรียนปี 2570</t>
  </si>
  <si>
    <t xml:space="preserve">T-030</t>
  </si>
  <si>
    <t xml:space="preserve">ทำ Facebook Ads ช่วงรับสมัคร งบ 30,000 บาท</t>
  </si>
  <si>
    <t xml:space="preserve">รอโปสเตอร์เสร็จก่อน</t>
  </si>
  <si>
    <t xml:space="preserve">T-031</t>
  </si>
  <si>
    <t xml:space="preserve">จัดทำแผน Open House Event</t>
  </si>
  <si>
    <t xml:space="preserve">T-032</t>
  </si>
  <si>
    <t xml:space="preserve">ถ่ายวิดีโอบรรยากาศห้องเรียนและกิจกรรม</t>
  </si>
  <si>
    <t xml:space="preserve">ต้องขออนุญาตผู้ปกครอง</t>
  </si>
  <si>
    <t xml:space="preserve">T-033</t>
  </si>
  <si>
    <t xml:space="preserve">เขียนบทความ Blog 6 เรื่องการเลือกโรงเรียน</t>
  </si>
  <si>
    <t xml:space="preserve">T-034</t>
  </si>
  <si>
    <t xml:space="preserve">ทำ Infographic เปรียบเทียบหลักสูตร</t>
  </si>
  <si>
    <t xml:space="preserve">T-035</t>
  </si>
  <si>
    <t xml:space="preserve">ครัวป้าจี๋</t>
  </si>
  <si>
    <t xml:space="preserve">ทำเมนูรายการอาหารใหม่ 8 เมนู (ภาพ+ข้อความ)</t>
  </si>
  <si>
    <t xml:space="preserve">T-036</t>
  </si>
  <si>
    <t xml:space="preserve">ลงทะเบียน Google Business Profile และอัปเดตข้อมูล</t>
  </si>
  <si>
    <t xml:space="preserve">T-037</t>
  </si>
  <si>
    <t xml:space="preserve">ตั้งค่า LINE OA และ Rich Menu</t>
  </si>
  <si>
    <t xml:space="preserve">T-038</t>
  </si>
  <si>
    <t xml:space="preserve">ถ่ายวิดีโอ Reels 4 คลิปโปรโมชั่นเทศกาล</t>
  </si>
  <si>
    <t xml:space="preserve">ระงับ</t>
  </si>
  <si>
    <t xml:space="preserve">รอลูกค้ายืนยันวันเปิดสาขาใหม่</t>
  </si>
  <si>
    <t xml:space="preserve">T-039</t>
  </si>
  <si>
    <t xml:space="preserve">ตัดต่อและปรับสี Reels ที่ถ่ายแล้ว</t>
  </si>
  <si>
    <t xml:space="preserve">รอคลิปจากทีมถ่ายวิดีโอ</t>
  </si>
  <si>
    <t xml:space="preserve">T-040</t>
  </si>
  <si>
    <t xml:space="preserve">ออกแบบเมนูกระดาษ A4 ฉบับใหม่</t>
  </si>
  <si>
    <t xml:space="preserve">T-041</t>
  </si>
  <si>
    <t xml:space="preserve">ภายในทีม</t>
  </si>
  <si>
    <t xml:space="preserve">ประชุม Weekly Review และอัปเดต Dashboard</t>
  </si>
  <si>
    <t xml:space="preserve">งานประจำทุกวันจันทร์</t>
  </si>
  <si>
    <t xml:space="preserve">T-042</t>
  </si>
  <si>
    <t xml:space="preserve">จัดทำ Template ใบเสนอราคาแบรนด์ใหม่</t>
  </si>
  <si>
    <t xml:space="preserve">T-043</t>
  </si>
  <si>
    <t xml:space="preserve">ปรับปรุงคู่มือการทำงาน Social Media</t>
  </si>
  <si>
    <t xml:space="preserve">รอหัวหน้ารีวิว</t>
  </si>
  <si>
    <t xml:space="preserve">T-044</t>
  </si>
  <si>
    <t xml:space="preserve">ฝึกอบรม Canva และ CapCut ให้ทีม</t>
  </si>
  <si>
    <t xml:space="preserve">T-045</t>
  </si>
  <si>
    <t xml:space="preserve">ทำรายงาน Ad Spend รวมทุกลูกค้า ก.ย.–ต.ค.</t>
  </si>
  <si>
    <t xml:space="preserve">T-046</t>
  </si>
  <si>
    <t xml:space="preserve">สรุปผลงานรายไตรมาส Q4 เสนอผู้บริหาร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</si>
</sst>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/mm/yyyy"/>
    <numFmt numFmtId="166" formatCode="0"/>
    <numFmt numFmtId="167" formatCode="0%"/>
    <numFmt numFmtId="168" formatCode="#,##0"/>
    <numFmt numFmtId="169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9"/>
      <color rgb="FF595959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59595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F2F2F2"/>
      </patternFill>
    </fill>
    <fill>
      <patternFill patternType="solid">
        <fgColor rgb="FF1F4E78"/>
        <bgColor rgb="FF003366"/>
      </patternFill>
    </fill>
    <fill>
      <patternFill patternType="solid">
        <fgColor rgb="FFF2F2F2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>
          <bgColor rgb="FFF8CBAD"/>
        </patternFill>
      </fill>
    </dxf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8"/>
    <col collapsed="false" customWidth="true" hidden="false" outlineLevel="0" max="4" min="3" style="0" width="13"/>
    <col collapsed="false" customWidth="true" hidden="false" outlineLevel="0" max="5" min="5" style="0" width="15"/>
    <col collapsed="false" customWidth="true" hidden="false" outlineLevel="0" max="6" min="6" style="0" width="12"/>
    <col collapsed="false" customWidth="true" hidden="false" outlineLevel="0" max="8" min="7" style="0" width="13"/>
    <col collapsed="false" customWidth="true" hidden="false" outlineLevel="0" max="9" min="9" style="0" width="15"/>
    <col collapsed="false" customWidth="true" hidden="false" outlineLevel="0" max="10" min="10" style="0" width="13"/>
    <col collapsed="false" customWidth="true" hidden="false" outlineLevel="0" max="11" min="11" style="0" width="12"/>
    <col collapsed="false" customWidth="true" hidden="false" outlineLevel="0" max="12" min="12" style="0" width="14"/>
  </cols>
  <sheetData>
    <row r="1" customFormat="false" ht="18.6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3" t="n">
        <f aca="true">TODAY()</f>
        <v>46324</v>
      </c>
    </row>
    <row r="4" customFormat="false" ht="15" hidden="false" customHeight="fals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customFormat="false" ht="30" hidden="false" customHeight="true" outlineLevel="0" collapsed="false">
      <c r="A5" s="5" t="n">
        <f aca="false">COUNTA(งานทั้งหมด!$A$5:$A$300)</f>
        <v>46</v>
      </c>
      <c r="B5" s="5" t="n">
        <f aca="false">COUNTIF(งานทั้งหมด!$F$5:$F$300,"เสร็จแล้ว")</f>
        <v>14</v>
      </c>
      <c r="C5" s="6" t="n">
        <f aca="false">IFERROR(B5/A5,0)</f>
        <v>0.304347826086957</v>
      </c>
      <c r="D5" s="5" t="n">
        <f aca="false">COUNTIF(งานทั้งหมด!$M$5:$M$300,"เกินกำหนด")</f>
        <v>5</v>
      </c>
      <c r="E5" s="7" t="n">
        <f aca="false">SUM(งานทั้งหมด!$I$5:$I$300)</f>
        <v>567</v>
      </c>
      <c r="F5" s="7" t="n">
        <f aca="false">SUM(งานทั้งหมด!$J$5:$J$300)</f>
        <v>329</v>
      </c>
    </row>
    <row r="7" customFormat="false" ht="15" hidden="false" customHeight="false" outlineLevel="0" collapsed="false">
      <c r="A7" s="8" t="s">
        <v>8</v>
      </c>
    </row>
    <row r="8" customFormat="false" ht="30" hidden="false" customHeight="true" outlineLevel="0" collapsed="false">
      <c r="A8" s="9" t="s">
        <v>9</v>
      </c>
      <c r="B8" s="9" t="s">
        <v>10</v>
      </c>
      <c r="C8" s="9" t="s">
        <v>2</v>
      </c>
      <c r="D8" s="9" t="s">
        <v>11</v>
      </c>
      <c r="E8" s="9" t="s">
        <v>12</v>
      </c>
      <c r="F8" s="9" t="s">
        <v>13</v>
      </c>
      <c r="G8" s="9" t="s">
        <v>14</v>
      </c>
      <c r="H8" s="9" t="s">
        <v>15</v>
      </c>
      <c r="I8" s="9" t="s">
        <v>16</v>
      </c>
      <c r="J8" s="9" t="s">
        <v>17</v>
      </c>
      <c r="K8" s="9" t="s">
        <v>18</v>
      </c>
      <c r="L8" s="9" t="s">
        <v>19</v>
      </c>
    </row>
    <row r="9" customFormat="false" ht="15" hidden="false" customHeight="false" outlineLevel="0" collapsed="false">
      <c r="A9" s="10" t="str">
        <f aca="false">ทีมงาน!B5</f>
        <v>วิภา</v>
      </c>
      <c r="B9" s="10" t="str">
        <f aca="false">ทีมงาน!C5</f>
        <v>หัวหน้าทีม (Team Lead)</v>
      </c>
      <c r="C9" s="11" t="n">
        <f aca="false">COUNTIF(งานทั้งหมด!$D$5:$D$300,A9)</f>
        <v>5</v>
      </c>
      <c r="D9" s="11" t="n">
        <f aca="false">COUNTIFS(งานทั้งหมด!$D$5:$D$300,A9,งานทั้งหมด!$F$5:$F$300,"ยังไม่เริ่ม")</f>
        <v>1</v>
      </c>
      <c r="E9" s="11" t="n">
        <f aca="false">COUNTIFS(งานทั้งหมด!$D$5:$D$300,A9,งานทั้งหมด!$F$5:$F$300,"กำลังดำเนินการ")</f>
        <v>2</v>
      </c>
      <c r="F9" s="11" t="n">
        <f aca="false">COUNTIFS(งานทั้งหมด!$D$5:$D$300,A9,งานทั้งหมด!$F$5:$F$300,"รอตรวจ")</f>
        <v>1</v>
      </c>
      <c r="G9" s="11" t="n">
        <f aca="false">COUNTIFS(งานทั้งหมด!$D$5:$D$300,A9,งานทั้งหมด!$F$5:$F$300,"เสร็จแล้ว")</f>
        <v>1</v>
      </c>
      <c r="H9" s="11" t="n">
        <f aca="false">COUNTIFS(งานทั้งหมด!$D$5:$D$300,A9,งานทั้งหมด!$M$5:$M$300,"เกินกำหนด")</f>
        <v>0</v>
      </c>
      <c r="I9" s="12" t="n">
        <f aca="false">SUMIF(งานทั้งหมด!$D$5:$D$300,A9,งานทั้งหมด!$I$5:$I$300)</f>
        <v>64</v>
      </c>
      <c r="J9" s="12" t="n">
        <f aca="false">SUMIF(งานทั้งหมด!$D$5:$D$300,A9,งานทั้งหมด!$J$5:$J$300)</f>
        <v>39</v>
      </c>
      <c r="K9" s="13" t="n">
        <f aca="false">IFERROR(G9/C9,0)</f>
        <v>0.2</v>
      </c>
      <c r="L9" s="13" t="n">
        <f aca="false">IFERROR(I9/J9,0)</f>
        <v>1.64102564102564</v>
      </c>
    </row>
    <row r="10" customFormat="false" ht="15" hidden="false" customHeight="false" outlineLevel="0" collapsed="false">
      <c r="A10" s="10" t="str">
        <f aca="false">ทีมงาน!B6</f>
        <v>ณัฐวุฒิ</v>
      </c>
      <c r="B10" s="10" t="str">
        <f aca="false">ทีมงาน!C6</f>
        <v>Senior Graphic Designer</v>
      </c>
      <c r="C10" s="11" t="n">
        <f aca="false">COUNTIF(งานทั้งหมด!$D$5:$D$300,A10)</f>
        <v>5</v>
      </c>
      <c r="D10" s="11" t="n">
        <f aca="false">COUNTIFS(งานทั้งหมด!$D$5:$D$300,A10,งานทั้งหมด!$F$5:$F$300,"ยังไม่เริ่ม")</f>
        <v>1</v>
      </c>
      <c r="E10" s="11" t="n">
        <f aca="false">COUNTIFS(งานทั้งหมด!$D$5:$D$300,A10,งานทั้งหมด!$F$5:$F$300,"กำลังดำเนินการ")</f>
        <v>2</v>
      </c>
      <c r="F10" s="11" t="n">
        <f aca="false">COUNTIFS(งานทั้งหมด!$D$5:$D$300,A10,งานทั้งหมด!$F$5:$F$300,"รอตรวจ")</f>
        <v>1</v>
      </c>
      <c r="G10" s="11" t="n">
        <f aca="false">COUNTIFS(งานทั้งหมด!$D$5:$D$300,A10,งานทั้งหมด!$F$5:$F$300,"เสร็จแล้ว")</f>
        <v>1</v>
      </c>
      <c r="H10" s="11" t="n">
        <f aca="false">COUNTIFS(งานทั้งหมด!$D$5:$D$300,A10,งานทั้งหมด!$M$5:$M$300,"เกินกำหนด")</f>
        <v>1</v>
      </c>
      <c r="I10" s="12" t="n">
        <f aca="false">SUMIF(งานทั้งหมด!$D$5:$D$300,A10,งานทั้งหมด!$I$5:$I$300)</f>
        <v>58</v>
      </c>
      <c r="J10" s="12" t="n">
        <f aca="false">SUMIF(งานทั้งหมด!$D$5:$D$300,A10,งานทั้งหมด!$J$5:$J$300)</f>
        <v>41</v>
      </c>
      <c r="K10" s="13" t="n">
        <f aca="false">IFERROR(G10/C10,0)</f>
        <v>0.2</v>
      </c>
      <c r="L10" s="13" t="n">
        <f aca="false">IFERROR(I10/J10,0)</f>
        <v>1.41463414634146</v>
      </c>
    </row>
    <row r="11" customFormat="false" ht="15" hidden="false" customHeight="false" outlineLevel="0" collapsed="false">
      <c r="A11" s="10" t="str">
        <f aca="false">ทีมงาน!B7</f>
        <v>นภา</v>
      </c>
      <c r="B11" s="10" t="str">
        <f aca="false">ทีมงาน!C7</f>
        <v>Content Writer</v>
      </c>
      <c r="C11" s="11" t="n">
        <f aca="false">COUNTIF(งานทั้งหมด!$D$5:$D$300,A11)</f>
        <v>5</v>
      </c>
      <c r="D11" s="11" t="n">
        <f aca="false">COUNTIFS(งานทั้งหมด!$D$5:$D$300,A11,งานทั้งหมด!$F$5:$F$300,"ยังไม่เริ่ม")</f>
        <v>1</v>
      </c>
      <c r="E11" s="11" t="n">
        <f aca="false">COUNTIFS(งานทั้งหมด!$D$5:$D$300,A11,งานทั้งหมด!$F$5:$F$300,"กำลังดำเนินการ")</f>
        <v>2</v>
      </c>
      <c r="F11" s="11" t="n">
        <f aca="false">COUNTIFS(งานทั้งหมด!$D$5:$D$300,A11,งานทั้งหมด!$F$5:$F$300,"รอตรวจ")</f>
        <v>0</v>
      </c>
      <c r="G11" s="11" t="n">
        <f aca="false">COUNTIFS(งานทั้งหมด!$D$5:$D$300,A11,งานทั้งหมด!$F$5:$F$300,"เสร็จแล้ว")</f>
        <v>2</v>
      </c>
      <c r="H11" s="11" t="n">
        <f aca="false">COUNTIFS(งานทั้งหมด!$D$5:$D$300,A11,งานทั้งหมด!$M$5:$M$300,"เกินกำหนด")</f>
        <v>0</v>
      </c>
      <c r="I11" s="12" t="n">
        <f aca="false">SUMIF(งานทั้งหมด!$D$5:$D$300,A11,งานทั้งหมด!$I$5:$I$300)</f>
        <v>86</v>
      </c>
      <c r="J11" s="12" t="n">
        <f aca="false">SUMIF(งานทั้งหมด!$D$5:$D$300,A11,งานทั้งหมด!$J$5:$J$300)</f>
        <v>48</v>
      </c>
      <c r="K11" s="13" t="n">
        <f aca="false">IFERROR(G11/C11,0)</f>
        <v>0.4</v>
      </c>
      <c r="L11" s="13" t="n">
        <f aca="false">IFERROR(I11/J11,0)</f>
        <v>1.79166666666667</v>
      </c>
    </row>
    <row r="12" customFormat="false" ht="15" hidden="false" customHeight="false" outlineLevel="0" collapsed="false">
      <c r="A12" s="10" t="str">
        <f aca="false">ทีมงาน!B8</f>
        <v>ปิยะ</v>
      </c>
      <c r="B12" s="10" t="str">
        <f aca="false">ทีมงาน!C8</f>
        <v>Photographer &amp; Video Producer</v>
      </c>
      <c r="C12" s="11" t="n">
        <f aca="false">COUNTIF(งานทั้งหมด!$D$5:$D$300,A12)</f>
        <v>6</v>
      </c>
      <c r="D12" s="11" t="n">
        <f aca="false">COUNTIFS(งานทั้งหมด!$D$5:$D$300,A12,งานทั้งหมด!$F$5:$F$300,"ยังไม่เริ่ม")</f>
        <v>2</v>
      </c>
      <c r="E12" s="11" t="n">
        <f aca="false">COUNTIFS(งานทั้งหมด!$D$5:$D$300,A12,งานทั้งหมด!$F$5:$F$300,"กำลังดำเนินการ")</f>
        <v>1</v>
      </c>
      <c r="F12" s="11" t="n">
        <f aca="false">COUNTIFS(งานทั้งหมด!$D$5:$D$300,A12,งานทั้งหมด!$F$5:$F$300,"รอตรวจ")</f>
        <v>0</v>
      </c>
      <c r="G12" s="11" t="n">
        <f aca="false">COUNTIFS(งานทั้งหมด!$D$5:$D$300,A12,งานทั้งหมด!$F$5:$F$300,"เสร็จแล้ว")</f>
        <v>3</v>
      </c>
      <c r="H12" s="11" t="n">
        <f aca="false">COUNTIFS(งานทั้งหมด!$D$5:$D$300,A12,งานทั้งหมด!$M$5:$M$300,"เกินกำหนด")</f>
        <v>1</v>
      </c>
      <c r="I12" s="12" t="n">
        <f aca="false">SUMIF(งานทั้งหมด!$D$5:$D$300,A12,งานทั้งหมด!$I$5:$I$300)</f>
        <v>62</v>
      </c>
      <c r="J12" s="12" t="n">
        <f aca="false">SUMIF(งานทั้งหมด!$D$5:$D$300,A12,งานทั้งหมด!$J$5:$J$300)</f>
        <v>45</v>
      </c>
      <c r="K12" s="13" t="n">
        <f aca="false">IFERROR(G12/C12,0)</f>
        <v>0.5</v>
      </c>
      <c r="L12" s="13" t="n">
        <f aca="false">IFERROR(I12/J12,0)</f>
        <v>1.37777777777778</v>
      </c>
    </row>
    <row r="13" customFormat="false" ht="15" hidden="false" customHeight="false" outlineLevel="0" collapsed="false">
      <c r="A13" s="10" t="str">
        <f aca="false">ทีมงาน!B9</f>
        <v>ธนพล</v>
      </c>
      <c r="B13" s="10" t="str">
        <f aca="false">ทีมงาน!C9</f>
        <v>Performance Marketer</v>
      </c>
      <c r="C13" s="11" t="n">
        <f aca="false">COUNTIF(งานทั้งหมด!$D$5:$D$300,A13)</f>
        <v>5</v>
      </c>
      <c r="D13" s="11" t="n">
        <f aca="false">COUNTIFS(งานทั้งหมด!$D$5:$D$300,A13,งานทั้งหมด!$F$5:$F$300,"ยังไม่เริ่ม")</f>
        <v>2</v>
      </c>
      <c r="E13" s="11" t="n">
        <f aca="false">COUNTIFS(งานทั้งหมด!$D$5:$D$300,A13,งานทั้งหมด!$F$5:$F$300,"กำลังดำเนินการ")</f>
        <v>2</v>
      </c>
      <c r="F13" s="11" t="n">
        <f aca="false">COUNTIFS(งานทั้งหมด!$D$5:$D$300,A13,งานทั้งหมด!$F$5:$F$300,"รอตรวจ")</f>
        <v>0</v>
      </c>
      <c r="G13" s="11" t="n">
        <f aca="false">COUNTIFS(งานทั้งหมด!$D$5:$D$300,A13,งานทั้งหมด!$F$5:$F$300,"เสร็จแล้ว")</f>
        <v>1</v>
      </c>
      <c r="H13" s="11" t="n">
        <f aca="false">COUNTIFS(งานทั้งหมด!$D$5:$D$300,A13,งานทั้งหมด!$M$5:$M$300,"เกินกำหนด")</f>
        <v>1</v>
      </c>
      <c r="I13" s="12" t="n">
        <f aca="false">SUMIF(งานทั้งหมด!$D$5:$D$300,A13,งานทั้งหมด!$I$5:$I$300)</f>
        <v>39</v>
      </c>
      <c r="J13" s="12" t="n">
        <f aca="false">SUMIF(งานทั้งหมด!$D$5:$D$300,A13,งานทั้งหมด!$J$5:$J$300)</f>
        <v>12</v>
      </c>
      <c r="K13" s="13" t="n">
        <f aca="false">IFERROR(G13/C13,0)</f>
        <v>0.2</v>
      </c>
      <c r="L13" s="13" t="n">
        <f aca="false">IFERROR(I13/J13,0)</f>
        <v>3.25</v>
      </c>
    </row>
    <row r="14" customFormat="false" ht="15" hidden="false" customHeight="false" outlineLevel="0" collapsed="false">
      <c r="A14" s="10" t="str">
        <f aca="false">ทีมงาน!B10</f>
        <v>ศุภกิจ</v>
      </c>
      <c r="B14" s="10" t="str">
        <f aca="false">ทีมงาน!C10</f>
        <v>Web Developer</v>
      </c>
      <c r="C14" s="11" t="n">
        <f aca="false">COUNTIF(งานทั้งหมด!$D$5:$D$300,A14)</f>
        <v>4</v>
      </c>
      <c r="D14" s="11" t="n">
        <f aca="false">COUNTIFS(งานทั้งหมด!$D$5:$D$300,A14,งานทั้งหมด!$F$5:$F$300,"ยังไม่เริ่ม")</f>
        <v>2</v>
      </c>
      <c r="E14" s="11" t="n">
        <f aca="false">COUNTIFS(งานทั้งหมด!$D$5:$D$300,A14,งานทั้งหมด!$F$5:$F$300,"กำลังดำเนินการ")</f>
        <v>1</v>
      </c>
      <c r="F14" s="11" t="n">
        <f aca="false">COUNTIFS(งานทั้งหมด!$D$5:$D$300,A14,งานทั้งหมด!$F$5:$F$300,"รอตรวจ")</f>
        <v>0</v>
      </c>
      <c r="G14" s="11" t="n">
        <f aca="false">COUNTIFS(งานทั้งหมด!$D$5:$D$300,A14,งานทั้งหมด!$F$5:$F$300,"เสร็จแล้ว")</f>
        <v>1</v>
      </c>
      <c r="H14" s="11" t="n">
        <f aca="false">COUNTIFS(งานทั้งหมด!$D$5:$D$300,A14,งานทั้งหมด!$M$5:$M$300,"เกินกำหนด")</f>
        <v>0</v>
      </c>
      <c r="I14" s="12" t="n">
        <f aca="false">SUMIF(งานทั้งหมด!$D$5:$D$300,A14,งานทั้งหมด!$I$5:$I$300)</f>
        <v>95</v>
      </c>
      <c r="J14" s="12" t="n">
        <f aca="false">SUMIF(งานทั้งหมด!$D$5:$D$300,A14,งานทั้งหมด!$J$5:$J$300)</f>
        <v>44</v>
      </c>
      <c r="K14" s="13" t="n">
        <f aca="false">IFERROR(G14/C14,0)</f>
        <v>0.25</v>
      </c>
      <c r="L14" s="13" t="n">
        <f aca="false">IFERROR(I14/J14,0)</f>
        <v>2.15909090909091</v>
      </c>
    </row>
    <row r="15" customFormat="false" ht="15" hidden="false" customHeight="false" outlineLevel="0" collapsed="false">
      <c r="A15" s="10" t="str">
        <f aca="false">ทีมงาน!B11</f>
        <v>อรทัย</v>
      </c>
      <c r="B15" s="10" t="str">
        <f aca="false">ทีมงาน!C11</f>
        <v>Data Analyst</v>
      </c>
      <c r="C15" s="11" t="n">
        <f aca="false">COUNTIF(งานทั้งหมด!$D$5:$D$300,A15)</f>
        <v>4</v>
      </c>
      <c r="D15" s="11" t="n">
        <f aca="false">COUNTIFS(งานทั้งหมด!$D$5:$D$300,A15,งานทั้งหมด!$F$5:$F$300,"ยังไม่เริ่ม")</f>
        <v>0</v>
      </c>
      <c r="E15" s="11" t="n">
        <f aca="false">COUNTIFS(งานทั้งหมด!$D$5:$D$300,A15,งานทั้งหมด!$F$5:$F$300,"กำลังดำเนินการ")</f>
        <v>1</v>
      </c>
      <c r="F15" s="11" t="n">
        <f aca="false">COUNTIFS(งานทั้งหมด!$D$5:$D$300,A15,งานทั้งหมด!$F$5:$F$300,"รอตรวจ")</f>
        <v>0</v>
      </c>
      <c r="G15" s="11" t="n">
        <f aca="false">COUNTIFS(งานทั้งหมด!$D$5:$D$300,A15,งานทั้งหมด!$F$5:$F$300,"เสร็จแล้ว")</f>
        <v>3</v>
      </c>
      <c r="H15" s="11" t="n">
        <f aca="false">COUNTIFS(งานทั้งหมด!$D$5:$D$300,A15,งานทั้งหมด!$M$5:$M$300,"เกินกำหนด")</f>
        <v>0</v>
      </c>
      <c r="I15" s="12" t="n">
        <f aca="false">SUMIF(งานทั้งหมด!$D$5:$D$300,A15,งานทั้งหมด!$I$5:$I$300)</f>
        <v>27</v>
      </c>
      <c r="J15" s="12" t="n">
        <f aca="false">SUMIF(งานทั้งหมด!$D$5:$D$300,A15,งานทั้งหมด!$J$5:$J$300)</f>
        <v>23</v>
      </c>
      <c r="K15" s="13" t="n">
        <f aca="false">IFERROR(G15/C15,0)</f>
        <v>0.75</v>
      </c>
      <c r="L15" s="13" t="n">
        <f aca="false">IFERROR(I15/J15,0)</f>
        <v>1.17391304347826</v>
      </c>
    </row>
    <row r="16" customFormat="false" ht="15" hidden="false" customHeight="false" outlineLevel="0" collapsed="false">
      <c r="A16" s="10" t="str">
        <f aca="false">ทีมงาน!B12</f>
        <v>ชลธิชา</v>
      </c>
      <c r="B16" s="10" t="str">
        <f aca="false">ทีมงาน!C12</f>
        <v>SEO Specialist</v>
      </c>
      <c r="C16" s="11" t="n">
        <f aca="false">COUNTIF(งานทั้งหมด!$D$5:$D$300,A16)</f>
        <v>4</v>
      </c>
      <c r="D16" s="11" t="n">
        <f aca="false">COUNTIFS(งานทั้งหมด!$D$5:$D$300,A16,งานทั้งหมด!$F$5:$F$300,"ยังไม่เริ่ม")</f>
        <v>1</v>
      </c>
      <c r="E16" s="11" t="n">
        <f aca="false">COUNTIFS(งานทั้งหมด!$D$5:$D$300,A16,งานทั้งหมด!$F$5:$F$300,"กำลังดำเนินการ")</f>
        <v>1</v>
      </c>
      <c r="F16" s="11" t="n">
        <f aca="false">COUNTIFS(งานทั้งหมด!$D$5:$D$300,A16,งานทั้งหมด!$F$5:$F$300,"รอตรวจ")</f>
        <v>1</v>
      </c>
      <c r="G16" s="11" t="n">
        <f aca="false">COUNTIFS(งานทั้งหมด!$D$5:$D$300,A16,งานทั้งหมด!$F$5:$F$300,"เสร็จแล้ว")</f>
        <v>1</v>
      </c>
      <c r="H16" s="11" t="n">
        <f aca="false">COUNTIFS(งานทั้งหมด!$D$5:$D$300,A16,งานทั้งหมด!$M$5:$M$300,"เกินกำหนด")</f>
        <v>1</v>
      </c>
      <c r="I16" s="12" t="n">
        <f aca="false">SUMIF(งานทั้งหมด!$D$5:$D$300,A16,งานทั้งหมด!$I$5:$I$300)</f>
        <v>72</v>
      </c>
      <c r="J16" s="12" t="n">
        <f aca="false">SUMIF(งานทั้งหมด!$D$5:$D$300,A16,งานทั้งหมด!$J$5:$J$300)</f>
        <v>38</v>
      </c>
      <c r="K16" s="13" t="n">
        <f aca="false">IFERROR(G16/C16,0)</f>
        <v>0.25</v>
      </c>
      <c r="L16" s="13" t="n">
        <f aca="false">IFERROR(I16/J16,0)</f>
        <v>1.89473684210526</v>
      </c>
    </row>
    <row r="17" customFormat="false" ht="15" hidden="false" customHeight="false" outlineLevel="0" collapsed="false">
      <c r="A17" s="10" t="str">
        <f aca="false">ทีมงาน!B13</f>
        <v>กมลชนก</v>
      </c>
      <c r="B17" s="10" t="str">
        <f aca="false">ทีมงาน!C13</f>
        <v>Social Media Executive</v>
      </c>
      <c r="C17" s="11" t="n">
        <f aca="false">COUNTIF(งานทั้งหมด!$D$5:$D$300,A17)</f>
        <v>4</v>
      </c>
      <c r="D17" s="11" t="n">
        <f aca="false">COUNTIFS(งานทั้งหมด!$D$5:$D$300,A17,งานทั้งหมด!$F$5:$F$300,"ยังไม่เริ่ม")</f>
        <v>0</v>
      </c>
      <c r="E17" s="11" t="n">
        <f aca="false">COUNTIFS(งานทั้งหมด!$D$5:$D$300,A17,งานทั้งหมด!$F$5:$F$300,"กำลังดำเนินการ")</f>
        <v>1</v>
      </c>
      <c r="F17" s="11" t="n">
        <f aca="false">COUNTIFS(งานทั้งหมด!$D$5:$D$300,A17,งานทั้งหมด!$F$5:$F$300,"รอตรวจ")</f>
        <v>2</v>
      </c>
      <c r="G17" s="11" t="n">
        <f aca="false">COUNTIFS(งานทั้งหมด!$D$5:$D$300,A17,งานทั้งหมด!$F$5:$F$300,"เสร็จแล้ว")</f>
        <v>0</v>
      </c>
      <c r="H17" s="11" t="n">
        <f aca="false">COUNTIFS(งานทั้งหมด!$D$5:$D$300,A17,งานทั้งหมด!$M$5:$M$300,"เกินกำหนด")</f>
        <v>1</v>
      </c>
      <c r="I17" s="12" t="n">
        <f aca="false">SUMIF(งานทั้งหมด!$D$5:$D$300,A17,งานทั้งหมด!$I$5:$I$300)</f>
        <v>38</v>
      </c>
      <c r="J17" s="12" t="n">
        <f aca="false">SUMIF(งานทั้งหมด!$D$5:$D$300,A17,งานทั้งหมด!$J$5:$J$300)</f>
        <v>26</v>
      </c>
      <c r="K17" s="13" t="n">
        <f aca="false">IFERROR(G17/C17,0)</f>
        <v>0</v>
      </c>
      <c r="L17" s="13" t="n">
        <f aca="false">IFERROR(I17/J17,0)</f>
        <v>1.46153846153846</v>
      </c>
    </row>
    <row r="18" customFormat="false" ht="15" hidden="false" customHeight="false" outlineLevel="0" collapsed="false">
      <c r="A18" s="10" t="str">
        <f aca="false">ทีมงาน!B14</f>
        <v>รัชนก</v>
      </c>
      <c r="B18" s="10" t="str">
        <f aca="false">ทีมงาน!C14</f>
        <v>Account Executive</v>
      </c>
      <c r="C18" s="11" t="n">
        <f aca="false">COUNTIF(งานทั้งหมด!$D$5:$D$300,A18)</f>
        <v>2</v>
      </c>
      <c r="D18" s="11" t="n">
        <f aca="false">COUNTIFS(งานทั้งหมด!$D$5:$D$300,A18,งานทั้งหมด!$F$5:$F$300,"ยังไม่เริ่ม")</f>
        <v>0</v>
      </c>
      <c r="E18" s="11" t="n">
        <f aca="false">COUNTIFS(งานทั้งหมด!$D$5:$D$300,A18,งานทั้งหมด!$F$5:$F$300,"กำลังดำเนินการ")</f>
        <v>1</v>
      </c>
      <c r="F18" s="11" t="n">
        <f aca="false">COUNTIFS(งานทั้งหมด!$D$5:$D$300,A18,งานทั้งหมด!$F$5:$F$300,"รอตรวจ")</f>
        <v>0</v>
      </c>
      <c r="G18" s="11" t="n">
        <f aca="false">COUNTIFS(งานทั้งหมด!$D$5:$D$300,A18,งานทั้งหมด!$F$5:$F$300,"เสร็จแล้ว")</f>
        <v>1</v>
      </c>
      <c r="H18" s="11" t="n">
        <f aca="false">COUNTIFS(งานทั้งหมด!$D$5:$D$300,A18,งานทั้งหมด!$M$5:$M$300,"เกินกำหนด")</f>
        <v>0</v>
      </c>
      <c r="I18" s="12" t="n">
        <f aca="false">SUMIF(งานทั้งหมด!$D$5:$D$300,A18,งานทั้งหมด!$I$5:$I$300)</f>
        <v>14</v>
      </c>
      <c r="J18" s="12" t="n">
        <f aca="false">SUMIF(งานทั้งหมด!$D$5:$D$300,A18,งานทั้งหมด!$J$5:$J$300)</f>
        <v>11</v>
      </c>
      <c r="K18" s="13" t="n">
        <f aca="false">IFERROR(G18/C18,0)</f>
        <v>0.5</v>
      </c>
      <c r="L18" s="13" t="n">
        <f aca="false">IFERROR(I18/J18,0)</f>
        <v>1.27272727272727</v>
      </c>
    </row>
    <row r="19" customFormat="false" ht="15" hidden="false" customHeight="false" outlineLevel="0" collapsed="false">
      <c r="A19" s="10" t="str">
        <f aca="false">ทีมงาน!B15</f>
        <v>ภัทรพล</v>
      </c>
      <c r="B19" s="10" t="str">
        <f aca="false">ทีมงาน!C15</f>
        <v>Junior Graphic Designer</v>
      </c>
      <c r="C19" s="11" t="n">
        <f aca="false">COUNTIF(งานทั้งหมด!$D$5:$D$300,A19)</f>
        <v>2</v>
      </c>
      <c r="D19" s="11" t="n">
        <f aca="false">COUNTIFS(งานทั้งหมด!$D$5:$D$300,A19,งานทั้งหมด!$F$5:$F$300,"ยังไม่เริ่ม")</f>
        <v>1</v>
      </c>
      <c r="E19" s="11" t="n">
        <f aca="false">COUNTIFS(งานทั้งหมด!$D$5:$D$300,A19,งานทั้งหมด!$F$5:$F$300,"กำลังดำเนินการ")</f>
        <v>1</v>
      </c>
      <c r="F19" s="11" t="n">
        <f aca="false">COUNTIFS(งานทั้งหมด!$D$5:$D$300,A19,งานทั้งหมด!$F$5:$F$300,"รอตรวจ")</f>
        <v>0</v>
      </c>
      <c r="G19" s="11" t="n">
        <f aca="false">COUNTIFS(งานทั้งหมด!$D$5:$D$300,A19,งานทั้งหมด!$F$5:$F$300,"เสร็จแล้ว")</f>
        <v>0</v>
      </c>
      <c r="H19" s="11" t="n">
        <f aca="false">COUNTIFS(งานทั้งหมด!$D$5:$D$300,A19,งานทั้งหมด!$M$5:$M$300,"เกินกำหนด")</f>
        <v>0</v>
      </c>
      <c r="I19" s="12" t="n">
        <f aca="false">SUMIF(งานทั้งหมด!$D$5:$D$300,A19,งานทั้งหมด!$I$5:$I$300)</f>
        <v>12</v>
      </c>
      <c r="J19" s="12" t="n">
        <f aca="false">SUMIF(งานทั้งหมด!$D$5:$D$300,A19,งานทั้งหมด!$J$5:$J$300)</f>
        <v>2</v>
      </c>
      <c r="K19" s="13" t="n">
        <f aca="false">IFERROR(G19/C19,0)</f>
        <v>0</v>
      </c>
      <c r="L19" s="13" t="n">
        <f aca="false">IFERROR(I19/J19,0)</f>
        <v>6</v>
      </c>
    </row>
    <row r="20" customFormat="false" ht="15" hidden="false" customHeight="false" outlineLevel="0" collapsed="false">
      <c r="A20" s="14" t="s">
        <v>20</v>
      </c>
      <c r="B20" s="14"/>
      <c r="C20" s="15" t="n">
        <f aca="false">SUM(C9:C19)</f>
        <v>46</v>
      </c>
      <c r="D20" s="15" t="n">
        <f aca="false">SUM(D9:D19)</f>
        <v>11</v>
      </c>
      <c r="E20" s="15" t="n">
        <f aca="false">SUM(E9:E19)</f>
        <v>15</v>
      </c>
      <c r="F20" s="15" t="n">
        <f aca="false">SUM(F9:F19)</f>
        <v>5</v>
      </c>
      <c r="G20" s="15" t="n">
        <f aca="false">SUM(G9:G19)</f>
        <v>14</v>
      </c>
      <c r="H20" s="15" t="n">
        <f aca="false">SUM(H9:H19)</f>
        <v>5</v>
      </c>
      <c r="I20" s="16" t="n">
        <f aca="false">SUM(I9:I19)</f>
        <v>567</v>
      </c>
      <c r="J20" s="16" t="n">
        <f aca="false">SUM(J9:J19)</f>
        <v>329</v>
      </c>
      <c r="K20" s="17" t="n">
        <f aca="false">IFERROR(G20/C20,0)</f>
        <v>0.304347826086957</v>
      </c>
      <c r="L20" s="17" t="n">
        <f aca="false">IFERROR(I20/J20,0)</f>
        <v>1.72340425531915</v>
      </c>
    </row>
    <row r="22" customFormat="false" ht="15" hidden="false" customHeight="false" outlineLevel="0" collapsed="false">
      <c r="A22" s="2" t="s">
        <v>21</v>
      </c>
    </row>
    <row r="23" customFormat="false" ht="15" hidden="false" customHeight="false" outlineLevel="0" collapsed="false">
      <c r="A23" s="18" t="s">
        <v>22</v>
      </c>
    </row>
    <row r="24" customFormat="false" ht="15" hidden="false" customHeight="false" outlineLevel="0" collapsed="false">
      <c r="A24" s="18" t="s">
        <v>23</v>
      </c>
    </row>
    <row r="25" customFormat="false" ht="15" hidden="false" customHeight="false" outlineLevel="0" collapsed="false">
      <c r="A25" s="18" t="s">
        <v>24</v>
      </c>
    </row>
    <row r="26" customFormat="false" ht="15" hidden="false" customHeight="false" outlineLevel="0" collapsed="false">
      <c r="A26" s="18" t="s">
        <v>25</v>
      </c>
    </row>
  </sheetData>
  <conditionalFormatting sqref="H9:H19">
    <cfRule type="cellIs" priority="2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30"/>
    <col collapsed="false" customWidth="true" hidden="false" outlineLevel="0" max="4" min="4" style="0" width="48"/>
    <col collapsed="false" customWidth="true" hidden="false" outlineLevel="0" max="5" min="5" style="0" width="28"/>
    <col collapsed="false" customWidth="true" hidden="false" outlineLevel="0" max="6" min="6" style="0" width="14"/>
    <col collapsed="false" customWidth="true" hidden="false" outlineLevel="0" max="7" min="7" style="0" width="10"/>
  </cols>
  <sheetData>
    <row r="1" customFormat="false" ht="19.7" hidden="false" customHeight="false" outlineLevel="0" collapsed="false">
      <c r="A1" s="1" t="s">
        <v>26</v>
      </c>
    </row>
    <row r="2" customFormat="false" ht="15" hidden="false" customHeight="false" outlineLevel="0" collapsed="false">
      <c r="A2" s="18" t="s">
        <v>27</v>
      </c>
    </row>
    <row r="4" customFormat="false" ht="15" hidden="false" customHeight="false" outlineLevel="0" collapsed="false">
      <c r="A4" s="9" t="s">
        <v>28</v>
      </c>
      <c r="B4" s="9" t="s">
        <v>29</v>
      </c>
      <c r="C4" s="9" t="s">
        <v>10</v>
      </c>
      <c r="D4" s="9" t="s">
        <v>30</v>
      </c>
      <c r="E4" s="9" t="s">
        <v>31</v>
      </c>
      <c r="F4" s="9" t="s">
        <v>32</v>
      </c>
      <c r="G4" s="9" t="s">
        <v>33</v>
      </c>
    </row>
    <row r="5" customFormat="false" ht="15" hidden="false" customHeight="false" outlineLevel="0" collapsed="false">
      <c r="A5" s="11" t="n">
        <v>1</v>
      </c>
      <c r="B5" s="10" t="s">
        <v>34</v>
      </c>
      <c r="C5" s="10" t="s">
        <v>35</v>
      </c>
      <c r="D5" s="10" t="s">
        <v>36</v>
      </c>
      <c r="E5" s="10" t="s">
        <v>37</v>
      </c>
      <c r="F5" s="19" t="n">
        <v>44270</v>
      </c>
      <c r="G5" s="11" t="s">
        <v>38</v>
      </c>
    </row>
    <row r="6" customFormat="false" ht="15" hidden="false" customHeight="false" outlineLevel="0" collapsed="false">
      <c r="A6" s="11" t="n">
        <v>2</v>
      </c>
      <c r="B6" s="10" t="s">
        <v>39</v>
      </c>
      <c r="C6" s="10" t="s">
        <v>40</v>
      </c>
      <c r="D6" s="10" t="s">
        <v>41</v>
      </c>
      <c r="E6" s="10" t="s">
        <v>42</v>
      </c>
      <c r="F6" s="19" t="n">
        <v>44713</v>
      </c>
      <c r="G6" s="11" t="s">
        <v>43</v>
      </c>
    </row>
    <row r="7" customFormat="false" ht="15" hidden="false" customHeight="false" outlineLevel="0" collapsed="false">
      <c r="A7" s="11" t="n">
        <v>3</v>
      </c>
      <c r="B7" s="10" t="s">
        <v>44</v>
      </c>
      <c r="C7" s="10" t="s">
        <v>45</v>
      </c>
      <c r="D7" s="10" t="s">
        <v>46</v>
      </c>
      <c r="E7" s="10" t="s">
        <v>47</v>
      </c>
      <c r="F7" s="19" t="n">
        <v>44816</v>
      </c>
      <c r="G7" s="11" t="s">
        <v>48</v>
      </c>
    </row>
    <row r="8" customFormat="false" ht="15" hidden="false" customHeight="false" outlineLevel="0" collapsed="false">
      <c r="A8" s="11" t="n">
        <v>4</v>
      </c>
      <c r="B8" s="10" t="s">
        <v>49</v>
      </c>
      <c r="C8" s="10" t="s">
        <v>50</v>
      </c>
      <c r="D8" s="10" t="s">
        <v>51</v>
      </c>
      <c r="E8" s="10" t="s">
        <v>52</v>
      </c>
      <c r="F8" s="19" t="n">
        <v>44501</v>
      </c>
      <c r="G8" s="11" t="s">
        <v>43</v>
      </c>
    </row>
    <row r="9" customFormat="false" ht="15" hidden="false" customHeight="false" outlineLevel="0" collapsed="false">
      <c r="A9" s="11" t="n">
        <v>5</v>
      </c>
      <c r="B9" s="10" t="s">
        <v>53</v>
      </c>
      <c r="C9" s="10" t="s">
        <v>54</v>
      </c>
      <c r="D9" s="10" t="s">
        <v>55</v>
      </c>
      <c r="E9" s="10" t="s">
        <v>56</v>
      </c>
      <c r="F9" s="19" t="n">
        <v>44977</v>
      </c>
      <c r="G9" s="11" t="s">
        <v>48</v>
      </c>
    </row>
    <row r="10" customFormat="false" ht="15" hidden="false" customHeight="false" outlineLevel="0" collapsed="false">
      <c r="A10" s="11" t="n">
        <v>6</v>
      </c>
      <c r="B10" s="10" t="s">
        <v>57</v>
      </c>
      <c r="C10" s="10" t="s">
        <v>58</v>
      </c>
      <c r="D10" s="10" t="s">
        <v>59</v>
      </c>
      <c r="E10" s="10" t="s">
        <v>60</v>
      </c>
      <c r="F10" s="19" t="n">
        <v>44655</v>
      </c>
      <c r="G10" s="11" t="s">
        <v>43</v>
      </c>
    </row>
    <row r="11" customFormat="false" ht="15" hidden="false" customHeight="false" outlineLevel="0" collapsed="false">
      <c r="A11" s="11" t="n">
        <v>7</v>
      </c>
      <c r="B11" s="10" t="s">
        <v>61</v>
      </c>
      <c r="C11" s="10" t="s">
        <v>62</v>
      </c>
      <c r="D11" s="10" t="s">
        <v>63</v>
      </c>
      <c r="E11" s="10" t="s">
        <v>64</v>
      </c>
      <c r="F11" s="19" t="n">
        <v>45117</v>
      </c>
      <c r="G11" s="11" t="s">
        <v>48</v>
      </c>
    </row>
    <row r="12" customFormat="false" ht="15" hidden="false" customHeight="false" outlineLevel="0" collapsed="false">
      <c r="A12" s="11" t="n">
        <v>8</v>
      </c>
      <c r="B12" s="10" t="s">
        <v>65</v>
      </c>
      <c r="C12" s="10" t="s">
        <v>66</v>
      </c>
      <c r="D12" s="10" t="s">
        <v>67</v>
      </c>
      <c r="E12" s="10" t="s">
        <v>68</v>
      </c>
      <c r="F12" s="19" t="n">
        <v>44942</v>
      </c>
      <c r="G12" s="11" t="s">
        <v>48</v>
      </c>
    </row>
    <row r="13" customFormat="false" ht="15" hidden="false" customHeight="false" outlineLevel="0" collapsed="false">
      <c r="A13" s="11" t="n">
        <v>9</v>
      </c>
      <c r="B13" s="10" t="s">
        <v>69</v>
      </c>
      <c r="C13" s="10" t="s">
        <v>70</v>
      </c>
      <c r="D13" s="10" t="s">
        <v>71</v>
      </c>
      <c r="E13" s="10" t="s">
        <v>72</v>
      </c>
      <c r="F13" s="19" t="n">
        <v>45418</v>
      </c>
      <c r="G13" s="11" t="s">
        <v>73</v>
      </c>
    </row>
    <row r="14" customFormat="false" ht="15" hidden="false" customHeight="false" outlineLevel="0" collapsed="false">
      <c r="A14" s="11" t="n">
        <v>10</v>
      </c>
      <c r="B14" s="10" t="s">
        <v>74</v>
      </c>
      <c r="C14" s="10" t="s">
        <v>75</v>
      </c>
      <c r="D14" s="10" t="s">
        <v>76</v>
      </c>
      <c r="E14" s="10" t="s">
        <v>77</v>
      </c>
      <c r="F14" s="19" t="n">
        <v>45523</v>
      </c>
      <c r="G14" s="11" t="s">
        <v>73</v>
      </c>
    </row>
    <row r="15" customFormat="false" ht="15" hidden="false" customHeight="false" outlineLevel="0" collapsed="false">
      <c r="A15" s="11" t="n">
        <v>11</v>
      </c>
      <c r="B15" s="10" t="s">
        <v>78</v>
      </c>
      <c r="C15" s="10" t="s">
        <v>79</v>
      </c>
      <c r="D15" s="10" t="s">
        <v>80</v>
      </c>
      <c r="E15" s="10" t="s">
        <v>81</v>
      </c>
      <c r="F15" s="19" t="n">
        <v>45663</v>
      </c>
      <c r="G15" s="11" t="s">
        <v>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44"/>
    <col collapsed="false" customWidth="true" hidden="false" outlineLevel="0" max="4" min="4" style="0" width="14"/>
    <col collapsed="false" customWidth="true" hidden="false" outlineLevel="0" max="5" min="5" style="0" width="11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9" min="8" style="0" width="13"/>
    <col collapsed="false" customWidth="true" hidden="false" outlineLevel="0" max="10" min="10" style="0" width="12"/>
    <col collapsed="false" customWidth="true" hidden="false" outlineLevel="0" max="11" min="11" style="0" width="14"/>
    <col collapsed="false" customWidth="true" hidden="false" outlineLevel="0" max="12" min="12" style="0" width="12"/>
    <col collapsed="false" customWidth="true" hidden="false" outlineLevel="0" max="13" min="13" style="0" width="16"/>
    <col collapsed="false" customWidth="true" hidden="false" outlineLevel="0" max="14" min="14" style="0" width="36"/>
  </cols>
  <sheetData>
    <row r="1" customFormat="false" ht="18.65" hidden="false" customHeight="false" outlineLevel="0" collapsed="false">
      <c r="A1" s="1" t="s">
        <v>83</v>
      </c>
    </row>
    <row r="2" customFormat="false" ht="15" hidden="false" customHeight="false" outlineLevel="0" collapsed="false">
      <c r="A2" s="18" t="s">
        <v>84</v>
      </c>
    </row>
    <row r="4" customFormat="false" ht="31.5" hidden="false" customHeight="true" outlineLevel="0" collapsed="false">
      <c r="A4" s="9" t="s">
        <v>85</v>
      </c>
      <c r="B4" s="9" t="s">
        <v>86</v>
      </c>
      <c r="C4" s="9" t="s">
        <v>87</v>
      </c>
      <c r="D4" s="9" t="s">
        <v>9</v>
      </c>
      <c r="E4" s="9" t="s">
        <v>88</v>
      </c>
      <c r="F4" s="9" t="s">
        <v>89</v>
      </c>
      <c r="G4" s="9" t="s">
        <v>90</v>
      </c>
      <c r="H4" s="9" t="s">
        <v>91</v>
      </c>
      <c r="I4" s="9" t="s">
        <v>16</v>
      </c>
      <c r="J4" s="9" t="s">
        <v>17</v>
      </c>
      <c r="K4" s="9" t="s">
        <v>92</v>
      </c>
      <c r="L4" s="9" t="s">
        <v>93</v>
      </c>
      <c r="M4" s="9" t="s">
        <v>94</v>
      </c>
      <c r="N4" s="9" t="s">
        <v>95</v>
      </c>
    </row>
    <row r="5" customFormat="false" ht="15" hidden="false" customHeight="false" outlineLevel="0" collapsed="false">
      <c r="A5" s="11" t="s">
        <v>96</v>
      </c>
      <c r="B5" s="10" t="s">
        <v>97</v>
      </c>
      <c r="C5" s="10" t="s">
        <v>98</v>
      </c>
      <c r="D5" s="10" t="s">
        <v>39</v>
      </c>
      <c r="E5" s="20" t="s">
        <v>99</v>
      </c>
      <c r="F5" s="20" t="s">
        <v>14</v>
      </c>
      <c r="G5" s="19" t="n">
        <v>46296</v>
      </c>
      <c r="H5" s="19" t="n">
        <v>46305</v>
      </c>
      <c r="I5" s="11" t="n">
        <v>16</v>
      </c>
      <c r="J5" s="11" t="n">
        <v>18</v>
      </c>
      <c r="K5" s="13" t="n">
        <v>1</v>
      </c>
      <c r="L5" s="21" t="str">
        <f aca="true">IF(F5="เสร็จแล้ว","",H5-TODAY())</f>
        <v/>
      </c>
      <c r="M5" s="11" t="str">
        <f aca="true">IF(F5="เสร็จแล้ว","เสร็จแล้ว",IF(H5&lt;TODAY(),"เกินกำหนด",IF(H5-TODAY()&lt;=3,"ใกล้ครบกำหนด","ปกติ")))</f>
        <v>เสร็จแล้ว</v>
      </c>
      <c r="N5" s="10" t="s">
        <v>100</v>
      </c>
    </row>
    <row r="6" customFormat="false" ht="15" hidden="false" customHeight="false" outlineLevel="0" collapsed="false">
      <c r="A6" s="11" t="s">
        <v>101</v>
      </c>
      <c r="B6" s="10" t="s">
        <v>97</v>
      </c>
      <c r="C6" s="10" t="s">
        <v>102</v>
      </c>
      <c r="D6" s="10" t="s">
        <v>44</v>
      </c>
      <c r="E6" s="20" t="s">
        <v>103</v>
      </c>
      <c r="F6" s="20" t="s">
        <v>14</v>
      </c>
      <c r="G6" s="19" t="n">
        <v>46296</v>
      </c>
      <c r="H6" s="19" t="n">
        <v>46310</v>
      </c>
      <c r="I6" s="11" t="n">
        <v>12</v>
      </c>
      <c r="J6" s="11" t="n">
        <v>11</v>
      </c>
      <c r="K6" s="13" t="n">
        <v>1</v>
      </c>
      <c r="L6" s="21" t="str">
        <f aca="true">IF(F6="เสร็จแล้ว","",H6-TODAY())</f>
        <v/>
      </c>
      <c r="M6" s="11" t="str">
        <f aca="true">IF(F6="เสร็จแล้ว","เสร็จแล้ว",IF(H6&lt;TODAY(),"เกินกำหนด",IF(H6-TODAY()&lt;=3,"ใกล้ครบกำหนด","ปกติ")))</f>
        <v>เสร็จแล้ว</v>
      </c>
      <c r="N6" s="10"/>
    </row>
    <row r="7" customFormat="false" ht="15" hidden="false" customHeight="false" outlineLevel="0" collapsed="false">
      <c r="A7" s="11" t="s">
        <v>104</v>
      </c>
      <c r="B7" s="10" t="s">
        <v>97</v>
      </c>
      <c r="C7" s="10" t="s">
        <v>105</v>
      </c>
      <c r="D7" s="10" t="s">
        <v>49</v>
      </c>
      <c r="E7" s="20" t="s">
        <v>103</v>
      </c>
      <c r="F7" s="20" t="s">
        <v>14</v>
      </c>
      <c r="G7" s="19" t="n">
        <v>46300</v>
      </c>
      <c r="H7" s="19" t="n">
        <v>46307</v>
      </c>
      <c r="I7" s="11" t="n">
        <v>10</v>
      </c>
      <c r="J7" s="11" t="n">
        <v>12</v>
      </c>
      <c r="K7" s="13" t="n">
        <v>1</v>
      </c>
      <c r="L7" s="21" t="str">
        <f aca="true">IF(F7="เสร็จแล้ว","",H7-TODAY())</f>
        <v/>
      </c>
      <c r="M7" s="11" t="str">
        <f aca="true">IF(F7="เสร็จแล้ว","เสร็จแล้ว",IF(H7&lt;TODAY(),"เกินกำหนด",IF(H7-TODAY()&lt;=3,"ใกล้ครบกำหนด","ปกติ")))</f>
        <v>เสร็จแล้ว</v>
      </c>
      <c r="N7" s="10" t="s">
        <v>106</v>
      </c>
    </row>
    <row r="8" customFormat="false" ht="15" hidden="false" customHeight="false" outlineLevel="0" collapsed="false">
      <c r="A8" s="11" t="s">
        <v>107</v>
      </c>
      <c r="B8" s="10" t="s">
        <v>97</v>
      </c>
      <c r="C8" s="10" t="s">
        <v>108</v>
      </c>
      <c r="D8" s="10" t="s">
        <v>53</v>
      </c>
      <c r="E8" s="20" t="s">
        <v>99</v>
      </c>
      <c r="F8" s="20" t="s">
        <v>12</v>
      </c>
      <c r="G8" s="19" t="n">
        <v>46315</v>
      </c>
      <c r="H8" s="19" t="n">
        <v>46322</v>
      </c>
      <c r="I8" s="11" t="n">
        <v>6</v>
      </c>
      <c r="J8" s="11" t="n">
        <v>5</v>
      </c>
      <c r="K8" s="13" t="n">
        <v>0.7</v>
      </c>
      <c r="L8" s="21" t="n">
        <f aca="true">IF(F8="เสร็จแล้ว","",H8-TODAY())</f>
        <v>-2</v>
      </c>
      <c r="M8" s="11" t="str">
        <f aca="true">IF(F8="เสร็จแล้ว","เสร็จแล้ว",IF(H8&lt;TODAY(),"เกินกำหนด",IF(H8-TODAY()&lt;=3,"ใกล้ครบกำหนด","ปกติ")))</f>
        <v>เกินกำหนด</v>
      </c>
      <c r="N8" s="10" t="s">
        <v>109</v>
      </c>
    </row>
    <row r="9" customFormat="false" ht="15" hidden="false" customHeight="false" outlineLevel="0" collapsed="false">
      <c r="A9" s="11" t="s">
        <v>110</v>
      </c>
      <c r="B9" s="10" t="s">
        <v>97</v>
      </c>
      <c r="C9" s="10" t="s">
        <v>111</v>
      </c>
      <c r="D9" s="10" t="s">
        <v>49</v>
      </c>
      <c r="E9" s="20" t="s">
        <v>112</v>
      </c>
      <c r="F9" s="20" t="s">
        <v>14</v>
      </c>
      <c r="G9" s="19" t="n">
        <v>46310</v>
      </c>
      <c r="H9" s="19" t="n">
        <v>46315</v>
      </c>
      <c r="I9" s="11" t="n">
        <v>4</v>
      </c>
      <c r="J9" s="11" t="n">
        <v>4</v>
      </c>
      <c r="K9" s="13" t="n">
        <v>1</v>
      </c>
      <c r="L9" s="21" t="str">
        <f aca="true">IF(F9="เสร็จแล้ว","",H9-TODAY())</f>
        <v/>
      </c>
      <c r="M9" s="11" t="str">
        <f aca="true">IF(F9="เสร็จแล้ว","เสร็จแล้ว",IF(H9&lt;TODAY(),"เกินกำหนด",IF(H9-TODAY()&lt;=3,"ใกล้ครบกำหนด","ปกติ")))</f>
        <v>เสร็จแล้ว</v>
      </c>
      <c r="N9" s="10"/>
    </row>
    <row r="10" customFormat="false" ht="15" hidden="false" customHeight="false" outlineLevel="0" collapsed="false">
      <c r="A10" s="11" t="s">
        <v>113</v>
      </c>
      <c r="B10" s="10" t="s">
        <v>97</v>
      </c>
      <c r="C10" s="10" t="s">
        <v>114</v>
      </c>
      <c r="D10" s="10" t="s">
        <v>44</v>
      </c>
      <c r="E10" s="20" t="s">
        <v>99</v>
      </c>
      <c r="F10" s="20" t="s">
        <v>11</v>
      </c>
      <c r="G10" s="19" t="n">
        <v>46329</v>
      </c>
      <c r="H10" s="19" t="n">
        <v>46346</v>
      </c>
      <c r="I10" s="11" t="n">
        <v>14</v>
      </c>
      <c r="J10" s="11" t="n">
        <v>0</v>
      </c>
      <c r="K10" s="13" t="n">
        <v>0</v>
      </c>
      <c r="L10" s="21" t="n">
        <f aca="true">IF(F10="เสร็จแล้ว","",H10-TODAY())</f>
        <v>22</v>
      </c>
      <c r="M10" s="11" t="str">
        <f aca="true">IF(F10="เสร็จแล้ว","เสร็จแล้ว",IF(H10&lt;TODAY(),"เกินกำหนด",IF(H10-TODAY()&lt;=3,"ใกล้ครบกำหนด","ปกติ")))</f>
        <v>ปกติ</v>
      </c>
      <c r="N10" s="10" t="s">
        <v>115</v>
      </c>
    </row>
    <row r="11" customFormat="false" ht="23.85" hidden="false" customHeight="false" outlineLevel="0" collapsed="false">
      <c r="A11" s="11" t="s">
        <v>116</v>
      </c>
      <c r="B11" s="10" t="s">
        <v>117</v>
      </c>
      <c r="C11" s="10" t="s">
        <v>118</v>
      </c>
      <c r="D11" s="10" t="s">
        <v>57</v>
      </c>
      <c r="E11" s="20" t="s">
        <v>99</v>
      </c>
      <c r="F11" s="20" t="s">
        <v>12</v>
      </c>
      <c r="G11" s="19" t="n">
        <v>46303</v>
      </c>
      <c r="H11" s="19" t="n">
        <v>46341</v>
      </c>
      <c r="I11" s="11" t="n">
        <v>60</v>
      </c>
      <c r="J11" s="11" t="n">
        <v>38</v>
      </c>
      <c r="K11" s="13" t="n">
        <v>0.6</v>
      </c>
      <c r="L11" s="21" t="n">
        <f aca="true">IF(F11="เสร็จแล้ว","",H11-TODAY())</f>
        <v>17</v>
      </c>
      <c r="M11" s="11" t="str">
        <f aca="true">IF(F11="เสร็จแล้ว","เสร็จแล้ว",IF(H11&lt;TODAY(),"เกินกำหนด",IF(H11-TODAY()&lt;=3,"ใกล้ครบกำหนด","ปกติ")))</f>
        <v>ปกติ</v>
      </c>
      <c r="N11" s="10" t="s">
        <v>119</v>
      </c>
    </row>
    <row r="12" customFormat="false" ht="15" hidden="false" customHeight="false" outlineLevel="0" collapsed="false">
      <c r="A12" s="11" t="s">
        <v>120</v>
      </c>
      <c r="B12" s="10" t="s">
        <v>117</v>
      </c>
      <c r="C12" s="10" t="s">
        <v>121</v>
      </c>
      <c r="D12" s="10" t="s">
        <v>61</v>
      </c>
      <c r="E12" s="20" t="s">
        <v>103</v>
      </c>
      <c r="F12" s="20" t="s">
        <v>14</v>
      </c>
      <c r="G12" s="19" t="n">
        <v>46298</v>
      </c>
      <c r="H12" s="19" t="n">
        <v>46309</v>
      </c>
      <c r="I12" s="11" t="n">
        <v>8</v>
      </c>
      <c r="J12" s="11" t="n">
        <v>9</v>
      </c>
      <c r="K12" s="13" t="n">
        <v>1</v>
      </c>
      <c r="L12" s="21" t="str">
        <f aca="true">IF(F12="เสร็จแล้ว","",H12-TODAY())</f>
        <v/>
      </c>
      <c r="M12" s="11" t="str">
        <f aca="true">IF(F12="เสร็จแล้ว","เสร็จแล้ว",IF(H12&lt;TODAY(),"เกินกำหนด",IF(H12-TODAY()&lt;=3,"ใกล้ครบกำหนด","ปกติ")))</f>
        <v>เสร็จแล้ว</v>
      </c>
      <c r="N12" s="10"/>
    </row>
    <row r="13" customFormat="false" ht="15" hidden="false" customHeight="false" outlineLevel="0" collapsed="false">
      <c r="A13" s="11" t="s">
        <v>122</v>
      </c>
      <c r="B13" s="10" t="s">
        <v>117</v>
      </c>
      <c r="C13" s="10" t="s">
        <v>123</v>
      </c>
      <c r="D13" s="10" t="s">
        <v>65</v>
      </c>
      <c r="E13" s="20" t="s">
        <v>99</v>
      </c>
      <c r="F13" s="20" t="s">
        <v>12</v>
      </c>
      <c r="G13" s="19" t="n">
        <v>46307</v>
      </c>
      <c r="H13" s="19" t="n">
        <v>46331</v>
      </c>
      <c r="I13" s="11" t="n">
        <v>40</v>
      </c>
      <c r="J13" s="11" t="n">
        <v>22</v>
      </c>
      <c r="K13" s="13" t="n">
        <v>0.55</v>
      </c>
      <c r="L13" s="21" t="n">
        <f aca="true">IF(F13="เสร็จแล้ว","",H13-TODAY())</f>
        <v>7</v>
      </c>
      <c r="M13" s="11" t="str">
        <f aca="true">IF(F13="เสร็จแล้ว","เสร็จแล้ว",IF(H13&lt;TODAY(),"เกินกำหนด",IF(H13-TODAY()&lt;=3,"ใกล้ครบกำหนด","ปกติ")))</f>
        <v>ปกติ</v>
      </c>
      <c r="N13" s="10"/>
    </row>
    <row r="14" customFormat="false" ht="15" hidden="false" customHeight="false" outlineLevel="0" collapsed="false">
      <c r="A14" s="11" t="s">
        <v>124</v>
      </c>
      <c r="B14" s="10" t="s">
        <v>117</v>
      </c>
      <c r="C14" s="10" t="s">
        <v>125</v>
      </c>
      <c r="D14" s="10" t="s">
        <v>69</v>
      </c>
      <c r="E14" s="20" t="s">
        <v>103</v>
      </c>
      <c r="F14" s="20" t="s">
        <v>13</v>
      </c>
      <c r="G14" s="19" t="n">
        <v>46313</v>
      </c>
      <c r="H14" s="19" t="n">
        <v>46321</v>
      </c>
      <c r="I14" s="11" t="n">
        <v>12</v>
      </c>
      <c r="J14" s="11" t="n">
        <v>13</v>
      </c>
      <c r="K14" s="13" t="n">
        <v>0.9</v>
      </c>
      <c r="L14" s="21" t="n">
        <f aca="true">IF(F14="เสร็จแล้ว","",H14-TODAY())</f>
        <v>-3</v>
      </c>
      <c r="M14" s="11" t="str">
        <f aca="true">IF(F14="เสร็จแล้ว","เสร็จแล้ว",IF(H14&lt;TODAY(),"เกินกำหนด",IF(H14-TODAY()&lt;=3,"ใกล้ครบกำหนด","ปกติ")))</f>
        <v>เกินกำหนด</v>
      </c>
      <c r="N14" s="10" t="s">
        <v>126</v>
      </c>
    </row>
    <row r="15" customFormat="false" ht="15" hidden="false" customHeight="false" outlineLevel="0" collapsed="false">
      <c r="A15" s="11" t="s">
        <v>127</v>
      </c>
      <c r="B15" s="10" t="s">
        <v>117</v>
      </c>
      <c r="C15" s="10" t="s">
        <v>128</v>
      </c>
      <c r="D15" s="10" t="s">
        <v>34</v>
      </c>
      <c r="E15" s="20" t="s">
        <v>112</v>
      </c>
      <c r="F15" s="20" t="s">
        <v>14</v>
      </c>
      <c r="G15" s="19" t="n">
        <v>46296</v>
      </c>
      <c r="H15" s="19" t="n">
        <v>46302</v>
      </c>
      <c r="I15" s="11" t="n">
        <v>4</v>
      </c>
      <c r="J15" s="11" t="n">
        <v>4</v>
      </c>
      <c r="K15" s="13" t="n">
        <v>1</v>
      </c>
      <c r="L15" s="21" t="str">
        <f aca="true">IF(F15="เสร็จแล้ว","",H15-TODAY())</f>
        <v/>
      </c>
      <c r="M15" s="11" t="str">
        <f aca="true">IF(F15="เสร็จแล้ว","เสร็จแล้ว",IF(H15&lt;TODAY(),"เกินกำหนด",IF(H15-TODAY()&lt;=3,"ใกล้ครบกำหนด","ปกติ")))</f>
        <v>เสร็จแล้ว</v>
      </c>
      <c r="N15" s="10"/>
    </row>
    <row r="16" customFormat="false" ht="15" hidden="false" customHeight="false" outlineLevel="0" collapsed="false">
      <c r="A16" s="11" t="s">
        <v>129</v>
      </c>
      <c r="B16" s="10" t="s">
        <v>117</v>
      </c>
      <c r="C16" s="10" t="s">
        <v>130</v>
      </c>
      <c r="D16" s="10" t="s">
        <v>65</v>
      </c>
      <c r="E16" s="20" t="s">
        <v>103</v>
      </c>
      <c r="F16" s="20" t="s">
        <v>14</v>
      </c>
      <c r="G16" s="19" t="n">
        <v>46297</v>
      </c>
      <c r="H16" s="19" t="n">
        <v>46303</v>
      </c>
      <c r="I16" s="11" t="n">
        <v>4</v>
      </c>
      <c r="J16" s="11" t="n">
        <v>5</v>
      </c>
      <c r="K16" s="13" t="n">
        <v>1</v>
      </c>
      <c r="L16" s="21" t="str">
        <f aca="true">IF(F16="เสร็จแล้ว","",H16-TODAY())</f>
        <v/>
      </c>
      <c r="M16" s="11" t="str">
        <f aca="true">IF(F16="เสร็จแล้ว","เสร็จแล้ว",IF(H16&lt;TODAY(),"เกินกำหนด",IF(H16-TODAY()&lt;=3,"ใกล้ครบกำหนด","ปกติ")))</f>
        <v>เสร็จแล้ว</v>
      </c>
      <c r="N16" s="10"/>
    </row>
    <row r="17" customFormat="false" ht="15" hidden="false" customHeight="false" outlineLevel="0" collapsed="false">
      <c r="A17" s="11" t="s">
        <v>131</v>
      </c>
      <c r="B17" s="10" t="s">
        <v>117</v>
      </c>
      <c r="C17" s="10" t="s">
        <v>132</v>
      </c>
      <c r="D17" s="10" t="s">
        <v>57</v>
      </c>
      <c r="E17" s="20" t="s">
        <v>99</v>
      </c>
      <c r="F17" s="20" t="s">
        <v>11</v>
      </c>
      <c r="G17" s="19" t="n">
        <v>46336</v>
      </c>
      <c r="H17" s="19" t="n">
        <v>46350</v>
      </c>
      <c r="I17" s="11" t="n">
        <v>10</v>
      </c>
      <c r="J17" s="11" t="n">
        <v>0</v>
      </c>
      <c r="K17" s="13" t="n">
        <v>0</v>
      </c>
      <c r="L17" s="21" t="n">
        <f aca="true">IF(F17="เสร็จแล้ว","",H17-TODAY())</f>
        <v>26</v>
      </c>
      <c r="M17" s="11" t="str">
        <f aca="true">IF(F17="เสร็จแล้ว","เสร็จแล้ว",IF(H17&lt;TODAY(),"เกินกำหนด",IF(H17-TODAY()&lt;=3,"ใกล้ครบกำหนด","ปกติ")))</f>
        <v>ปกติ</v>
      </c>
      <c r="N17" s="10" t="s">
        <v>133</v>
      </c>
    </row>
    <row r="18" customFormat="false" ht="15" hidden="false" customHeight="false" outlineLevel="0" collapsed="false">
      <c r="A18" s="11" t="s">
        <v>134</v>
      </c>
      <c r="B18" s="10" t="s">
        <v>117</v>
      </c>
      <c r="C18" s="10" t="s">
        <v>135</v>
      </c>
      <c r="D18" s="10" t="s">
        <v>74</v>
      </c>
      <c r="E18" s="20" t="s">
        <v>103</v>
      </c>
      <c r="F18" s="20" t="s">
        <v>12</v>
      </c>
      <c r="G18" s="19" t="n">
        <v>46315</v>
      </c>
      <c r="H18" s="19" t="n">
        <v>46327</v>
      </c>
      <c r="I18" s="11" t="n">
        <v>8</v>
      </c>
      <c r="J18" s="11" t="n">
        <v>4</v>
      </c>
      <c r="K18" s="13" t="n">
        <v>0.5</v>
      </c>
      <c r="L18" s="21" t="n">
        <f aca="true">IF(F18="เสร็จแล้ว","",H18-TODAY())</f>
        <v>3</v>
      </c>
      <c r="M18" s="11" t="str">
        <f aca="true">IF(F18="เสร็จแล้ว","เสร็จแล้ว",IF(H18&lt;TODAY(),"เกินกำหนด",IF(H18-TODAY()&lt;=3,"ใกล้ครบกำหนด","ปกติ")))</f>
        <v>ใกล้ครบกำหนด</v>
      </c>
      <c r="N18" s="10"/>
    </row>
    <row r="19" customFormat="false" ht="15" hidden="false" customHeight="false" outlineLevel="0" collapsed="false">
      <c r="A19" s="11" t="s">
        <v>136</v>
      </c>
      <c r="B19" s="10" t="s">
        <v>137</v>
      </c>
      <c r="C19" s="10" t="s">
        <v>138</v>
      </c>
      <c r="D19" s="10" t="s">
        <v>39</v>
      </c>
      <c r="E19" s="20" t="s">
        <v>103</v>
      </c>
      <c r="F19" s="20" t="s">
        <v>12</v>
      </c>
      <c r="G19" s="19" t="n">
        <v>46317</v>
      </c>
      <c r="H19" s="19" t="n">
        <v>46327</v>
      </c>
      <c r="I19" s="11" t="n">
        <v>10</v>
      </c>
      <c r="J19" s="11" t="n">
        <v>6</v>
      </c>
      <c r="K19" s="13" t="n">
        <v>0.5</v>
      </c>
      <c r="L19" s="21" t="n">
        <f aca="true">IF(F19="เสร็จแล้ว","",H19-TODAY())</f>
        <v>3</v>
      </c>
      <c r="M19" s="11" t="str">
        <f aca="true">IF(F19="เสร็จแล้ว","เสร็จแล้ว",IF(H19&lt;TODAY(),"เกินกำหนด",IF(H19-TODAY()&lt;=3,"ใกล้ครบกำหนด","ปกติ")))</f>
        <v>ใกล้ครบกำหนด</v>
      </c>
      <c r="N19" s="10"/>
    </row>
    <row r="20" customFormat="false" ht="15" hidden="false" customHeight="false" outlineLevel="0" collapsed="false">
      <c r="A20" s="11" t="s">
        <v>139</v>
      </c>
      <c r="B20" s="10" t="s">
        <v>137</v>
      </c>
      <c r="C20" s="10" t="s">
        <v>140</v>
      </c>
      <c r="D20" s="10" t="s">
        <v>49</v>
      </c>
      <c r="E20" s="20" t="s">
        <v>99</v>
      </c>
      <c r="F20" s="20" t="s">
        <v>12</v>
      </c>
      <c r="G20" s="19" t="n">
        <v>46314</v>
      </c>
      <c r="H20" s="19" t="n">
        <v>46323</v>
      </c>
      <c r="I20" s="11" t="n">
        <v>16</v>
      </c>
      <c r="J20" s="11" t="n">
        <v>14</v>
      </c>
      <c r="K20" s="13" t="n">
        <v>0.8</v>
      </c>
      <c r="L20" s="21" t="n">
        <f aca="true">IF(F20="เสร็จแล้ว","",H20-TODAY())</f>
        <v>-1</v>
      </c>
      <c r="M20" s="11" t="str">
        <f aca="true">IF(F20="เสร็จแล้ว","เสร็จแล้ว",IF(H20&lt;TODAY(),"เกินกำหนด",IF(H20-TODAY()&lt;=3,"ใกล้ครบกำหนด","ปกติ")))</f>
        <v>เกินกำหนด</v>
      </c>
      <c r="N20" s="10" t="s">
        <v>141</v>
      </c>
    </row>
    <row r="21" customFormat="false" ht="15" hidden="false" customHeight="false" outlineLevel="0" collapsed="false">
      <c r="A21" s="11" t="s">
        <v>142</v>
      </c>
      <c r="B21" s="10" t="s">
        <v>137</v>
      </c>
      <c r="C21" s="10" t="s">
        <v>143</v>
      </c>
      <c r="D21" s="10" t="s">
        <v>44</v>
      </c>
      <c r="E21" s="20" t="s">
        <v>103</v>
      </c>
      <c r="F21" s="20" t="s">
        <v>12</v>
      </c>
      <c r="G21" s="19" t="n">
        <v>46296</v>
      </c>
      <c r="H21" s="19" t="n">
        <v>46356</v>
      </c>
      <c r="I21" s="11" t="n">
        <v>30</v>
      </c>
      <c r="J21" s="11" t="n">
        <v>18</v>
      </c>
      <c r="K21" s="13" t="n">
        <v>0.6</v>
      </c>
      <c r="L21" s="21" t="n">
        <f aca="true">IF(F21="เสร็จแล้ว","",H21-TODAY())</f>
        <v>32</v>
      </c>
      <c r="M21" s="11" t="str">
        <f aca="true">IF(F21="เสร็จแล้ว","เสร็จแล้ว",IF(H21&lt;TODAY(),"เกินกำหนด",IF(H21-TODAY()&lt;=3,"ใกล้ครบกำหนด","ปกติ")))</f>
        <v>ปกติ</v>
      </c>
      <c r="N21" s="10" t="s">
        <v>144</v>
      </c>
    </row>
    <row r="22" customFormat="false" ht="15" hidden="false" customHeight="false" outlineLevel="0" collapsed="false">
      <c r="A22" s="11" t="s">
        <v>145</v>
      </c>
      <c r="B22" s="10" t="s">
        <v>137</v>
      </c>
      <c r="C22" s="10" t="s">
        <v>146</v>
      </c>
      <c r="D22" s="10" t="s">
        <v>57</v>
      </c>
      <c r="E22" s="20" t="s">
        <v>99</v>
      </c>
      <c r="F22" s="20" t="s">
        <v>11</v>
      </c>
      <c r="G22" s="19" t="n">
        <v>46328</v>
      </c>
      <c r="H22" s="19" t="n">
        <v>46336</v>
      </c>
      <c r="I22" s="11" t="n">
        <v>20</v>
      </c>
      <c r="J22" s="11" t="n">
        <v>0</v>
      </c>
      <c r="K22" s="13" t="n">
        <v>0</v>
      </c>
      <c r="L22" s="21" t="n">
        <f aca="true">IF(F22="เสร็จแล้ว","",H22-TODAY())</f>
        <v>12</v>
      </c>
      <c r="M22" s="11" t="str">
        <f aca="true">IF(F22="เสร็จแล้ว","เสร็จแล้ว",IF(H22&lt;TODAY(),"เกินกำหนด",IF(H22-TODAY()&lt;=3,"ใกล้ครบกำหนด","ปกติ")))</f>
        <v>ปกติ</v>
      </c>
      <c r="N22" s="10"/>
    </row>
    <row r="23" customFormat="false" ht="15" hidden="false" customHeight="false" outlineLevel="0" collapsed="false">
      <c r="A23" s="11" t="s">
        <v>147</v>
      </c>
      <c r="B23" s="10" t="s">
        <v>137</v>
      </c>
      <c r="C23" s="10" t="s">
        <v>148</v>
      </c>
      <c r="D23" s="10" t="s">
        <v>53</v>
      </c>
      <c r="E23" s="20" t="s">
        <v>103</v>
      </c>
      <c r="F23" s="20" t="s">
        <v>11</v>
      </c>
      <c r="G23" s="19" t="n">
        <v>46331</v>
      </c>
      <c r="H23" s="19" t="n">
        <v>46340</v>
      </c>
      <c r="I23" s="11" t="n">
        <v>12</v>
      </c>
      <c r="J23" s="11" t="n">
        <v>0</v>
      </c>
      <c r="K23" s="13" t="n">
        <v>0</v>
      </c>
      <c r="L23" s="21" t="n">
        <f aca="true">IF(F23="เสร็จแล้ว","",H23-TODAY())</f>
        <v>16</v>
      </c>
      <c r="M23" s="11" t="str">
        <f aca="true">IF(F23="เสร็จแล้ว","เสร็จแล้ว",IF(H23&lt;TODAY(),"เกินกำหนด",IF(H23-TODAY()&lt;=3,"ใกล้ครบกำหนด","ปกติ")))</f>
        <v>ปกติ</v>
      </c>
      <c r="N23" s="10"/>
    </row>
    <row r="24" customFormat="false" ht="15" hidden="false" customHeight="false" outlineLevel="0" collapsed="false">
      <c r="A24" s="11" t="s">
        <v>149</v>
      </c>
      <c r="B24" s="10" t="s">
        <v>137</v>
      </c>
      <c r="C24" s="10" t="s">
        <v>150</v>
      </c>
      <c r="D24" s="10" t="s">
        <v>53</v>
      </c>
      <c r="E24" s="20" t="s">
        <v>103</v>
      </c>
      <c r="F24" s="20" t="s">
        <v>14</v>
      </c>
      <c r="G24" s="19" t="n">
        <v>46304</v>
      </c>
      <c r="H24" s="19" t="n">
        <v>46308</v>
      </c>
      <c r="I24" s="11" t="n">
        <v>5</v>
      </c>
      <c r="J24" s="11" t="n">
        <v>4</v>
      </c>
      <c r="K24" s="13" t="n">
        <v>1</v>
      </c>
      <c r="L24" s="21" t="str">
        <f aca="true">IF(F24="เสร็จแล้ว","",H24-TODAY())</f>
        <v/>
      </c>
      <c r="M24" s="11" t="str">
        <f aca="true">IF(F24="เสร็จแล้ว","เสร็จแล้ว",IF(H24&lt;TODAY(),"เกินกำหนด",IF(H24-TODAY()&lt;=3,"ใกล้ครบกำหนด","ปกติ")))</f>
        <v>เสร็จแล้ว</v>
      </c>
      <c r="N24" s="10"/>
    </row>
    <row r="25" customFormat="false" ht="15" hidden="false" customHeight="false" outlineLevel="0" collapsed="false">
      <c r="A25" s="11" t="s">
        <v>151</v>
      </c>
      <c r="B25" s="10" t="s">
        <v>152</v>
      </c>
      <c r="C25" s="10" t="s">
        <v>153</v>
      </c>
      <c r="D25" s="10" t="s">
        <v>49</v>
      </c>
      <c r="E25" s="20" t="s">
        <v>99</v>
      </c>
      <c r="F25" s="20" t="s">
        <v>14</v>
      </c>
      <c r="G25" s="19" t="n">
        <v>46301</v>
      </c>
      <c r="H25" s="19" t="n">
        <v>46311</v>
      </c>
      <c r="I25" s="11" t="n">
        <v>14</v>
      </c>
      <c r="J25" s="11" t="n">
        <v>15</v>
      </c>
      <c r="K25" s="13" t="n">
        <v>1</v>
      </c>
      <c r="L25" s="21" t="str">
        <f aca="true">IF(F25="เสร็จแล้ว","",H25-TODAY())</f>
        <v/>
      </c>
      <c r="M25" s="11" t="str">
        <f aca="true">IF(F25="เสร็จแล้ว","เสร็จแล้ว",IF(H25&lt;TODAY(),"เกินกำหนด",IF(H25-TODAY()&lt;=3,"ใกล้ครบกำหนด","ปกติ")))</f>
        <v>เสร็จแล้ว</v>
      </c>
      <c r="N25" s="10"/>
    </row>
    <row r="26" customFormat="false" ht="15" hidden="false" customHeight="false" outlineLevel="0" collapsed="false">
      <c r="A26" s="11" t="s">
        <v>154</v>
      </c>
      <c r="B26" s="10" t="s">
        <v>152</v>
      </c>
      <c r="C26" s="10" t="s">
        <v>155</v>
      </c>
      <c r="D26" s="10" t="s">
        <v>39</v>
      </c>
      <c r="E26" s="20" t="s">
        <v>99</v>
      </c>
      <c r="F26" s="20" t="s">
        <v>13</v>
      </c>
      <c r="G26" s="19" t="n">
        <v>46315</v>
      </c>
      <c r="H26" s="19" t="n">
        <v>46323</v>
      </c>
      <c r="I26" s="11" t="n">
        <v>14</v>
      </c>
      <c r="J26" s="11" t="n">
        <v>12</v>
      </c>
      <c r="K26" s="13" t="n">
        <v>0.95</v>
      </c>
      <c r="L26" s="21" t="n">
        <f aca="true">IF(F26="เสร็จแล้ว","",H26-TODAY())</f>
        <v>-1</v>
      </c>
      <c r="M26" s="11" t="str">
        <f aca="true">IF(F26="เสร็จแล้ว","เสร็จแล้ว",IF(H26&lt;TODAY(),"เกินกำหนด",IF(H26-TODAY()&lt;=3,"ใกล้ครบกำหนด","ปกติ")))</f>
        <v>เกินกำหนด</v>
      </c>
      <c r="N26" s="10"/>
    </row>
    <row r="27" customFormat="false" ht="15" hidden="false" customHeight="false" outlineLevel="0" collapsed="false">
      <c r="A27" s="11" t="s">
        <v>156</v>
      </c>
      <c r="B27" s="10" t="s">
        <v>152</v>
      </c>
      <c r="C27" s="10" t="s">
        <v>157</v>
      </c>
      <c r="D27" s="10" t="s">
        <v>44</v>
      </c>
      <c r="E27" s="20" t="s">
        <v>103</v>
      </c>
      <c r="F27" s="20" t="s">
        <v>12</v>
      </c>
      <c r="G27" s="19" t="n">
        <v>46310</v>
      </c>
      <c r="H27" s="19" t="n">
        <v>46329</v>
      </c>
      <c r="I27" s="11" t="n">
        <v>20</v>
      </c>
      <c r="J27" s="11" t="n">
        <v>9</v>
      </c>
      <c r="K27" s="13" t="n">
        <v>0.4</v>
      </c>
      <c r="L27" s="21" t="n">
        <f aca="true">IF(F27="เสร็จแล้ว","",H27-TODAY())</f>
        <v>5</v>
      </c>
      <c r="M27" s="11" t="str">
        <f aca="true">IF(F27="เสร็จแล้ว","เสร็จแล้ว",IF(H27&lt;TODAY(),"เกินกำหนด",IF(H27-TODAY()&lt;=3,"ใกล้ครบกำหนด","ปกติ")))</f>
        <v>ปกติ</v>
      </c>
      <c r="N27" s="10"/>
    </row>
    <row r="28" customFormat="false" ht="15" hidden="false" customHeight="false" outlineLevel="0" collapsed="false">
      <c r="A28" s="11" t="s">
        <v>158</v>
      </c>
      <c r="B28" s="10" t="s">
        <v>152</v>
      </c>
      <c r="C28" s="10" t="s">
        <v>159</v>
      </c>
      <c r="D28" s="10" t="s">
        <v>61</v>
      </c>
      <c r="E28" s="20" t="s">
        <v>99</v>
      </c>
      <c r="F28" s="20" t="s">
        <v>12</v>
      </c>
      <c r="G28" s="19" t="n">
        <v>46316</v>
      </c>
      <c r="H28" s="19" t="n">
        <v>46330</v>
      </c>
      <c r="I28" s="11" t="n">
        <v>10</v>
      </c>
      <c r="J28" s="11" t="n">
        <v>4</v>
      </c>
      <c r="K28" s="13" t="n">
        <v>0.4</v>
      </c>
      <c r="L28" s="21" t="n">
        <f aca="true">IF(F28="เสร็จแล้ว","",H28-TODAY())</f>
        <v>6</v>
      </c>
      <c r="M28" s="11" t="str">
        <f aca="true">IF(F28="เสร็จแล้ว","เสร็จแล้ว",IF(H28&lt;TODAY(),"เกินกำหนด",IF(H28-TODAY()&lt;=3,"ใกล้ครบกำหนด","ปกติ")))</f>
        <v>ปกติ</v>
      </c>
      <c r="N28" s="10"/>
    </row>
    <row r="29" customFormat="false" ht="15" hidden="false" customHeight="false" outlineLevel="0" collapsed="false">
      <c r="A29" s="11" t="s">
        <v>160</v>
      </c>
      <c r="B29" s="10" t="s">
        <v>152</v>
      </c>
      <c r="C29" s="10" t="s">
        <v>161</v>
      </c>
      <c r="D29" s="10" t="s">
        <v>61</v>
      </c>
      <c r="E29" s="20" t="s">
        <v>103</v>
      </c>
      <c r="F29" s="20" t="s">
        <v>14</v>
      </c>
      <c r="G29" s="19" t="n">
        <v>46305</v>
      </c>
      <c r="H29" s="19" t="n">
        <v>46312</v>
      </c>
      <c r="I29" s="11" t="n">
        <v>6</v>
      </c>
      <c r="J29" s="11" t="n">
        <v>7</v>
      </c>
      <c r="K29" s="13" t="n">
        <v>1</v>
      </c>
      <c r="L29" s="21" t="str">
        <f aca="true">IF(F29="เสร็จแล้ว","",H29-TODAY())</f>
        <v/>
      </c>
      <c r="M29" s="11" t="str">
        <f aca="true">IF(F29="เสร็จแล้ว","เสร็จแล้ว",IF(H29&lt;TODAY(),"เกินกำหนด",IF(H29-TODAY()&lt;=3,"ใกล้ครบกำหนด","ปกติ")))</f>
        <v>เสร็จแล้ว</v>
      </c>
      <c r="N29" s="10"/>
    </row>
    <row r="30" customFormat="false" ht="15" hidden="false" customHeight="false" outlineLevel="0" collapsed="false">
      <c r="A30" s="11" t="s">
        <v>162</v>
      </c>
      <c r="B30" s="10" t="s">
        <v>152</v>
      </c>
      <c r="C30" s="10" t="s">
        <v>163</v>
      </c>
      <c r="D30" s="10" t="s">
        <v>34</v>
      </c>
      <c r="E30" s="20" t="s">
        <v>99</v>
      </c>
      <c r="F30" s="20" t="s">
        <v>13</v>
      </c>
      <c r="G30" s="19" t="n">
        <v>46319</v>
      </c>
      <c r="H30" s="19" t="n">
        <v>46325</v>
      </c>
      <c r="I30" s="11" t="n">
        <v>8</v>
      </c>
      <c r="J30" s="11" t="n">
        <v>7</v>
      </c>
      <c r="K30" s="13" t="n">
        <v>0.9</v>
      </c>
      <c r="L30" s="21" t="n">
        <f aca="true">IF(F30="เสร็จแล้ว","",H30-TODAY())</f>
        <v>1</v>
      </c>
      <c r="M30" s="11" t="str">
        <f aca="true">IF(F30="เสร็จแล้ว","เสร็จแล้ว",IF(H30&lt;TODAY(),"เกินกำหนด",IF(H30-TODAY()&lt;=3,"ใกล้ครบกำหนด","ปกติ")))</f>
        <v>ใกล้ครบกำหนด</v>
      </c>
      <c r="N30" s="10"/>
    </row>
    <row r="31" customFormat="false" ht="15" hidden="false" customHeight="false" outlineLevel="0" collapsed="false">
      <c r="A31" s="11" t="s">
        <v>164</v>
      </c>
      <c r="B31" s="10" t="s">
        <v>152</v>
      </c>
      <c r="C31" s="10" t="s">
        <v>165</v>
      </c>
      <c r="D31" s="10" t="s">
        <v>74</v>
      </c>
      <c r="E31" s="20" t="s">
        <v>99</v>
      </c>
      <c r="F31" s="20" t="s">
        <v>14</v>
      </c>
      <c r="G31" s="19" t="n">
        <v>46302</v>
      </c>
      <c r="H31" s="19" t="n">
        <v>46309</v>
      </c>
      <c r="I31" s="11" t="n">
        <v>6</v>
      </c>
      <c r="J31" s="11" t="n">
        <v>7</v>
      </c>
      <c r="K31" s="13" t="n">
        <v>1</v>
      </c>
      <c r="L31" s="21" t="str">
        <f aca="true">IF(F31="เสร็จแล้ว","",H31-TODAY())</f>
        <v/>
      </c>
      <c r="M31" s="11" t="str">
        <f aca="true">IF(F31="เสร็จแล้ว","เสร็จแล้ว",IF(H31&lt;TODAY(),"เกินกำหนด",IF(H31-TODAY()&lt;=3,"ใกล้ครบกำหนด","ปกติ")))</f>
        <v>เสร็จแล้ว</v>
      </c>
      <c r="N31" s="10" t="s">
        <v>166</v>
      </c>
    </row>
    <row r="32" customFormat="false" ht="15" hidden="false" customHeight="false" outlineLevel="0" collapsed="false">
      <c r="A32" s="11" t="s">
        <v>167</v>
      </c>
      <c r="B32" s="10" t="s">
        <v>152</v>
      </c>
      <c r="C32" s="10" t="s">
        <v>168</v>
      </c>
      <c r="D32" s="10" t="s">
        <v>69</v>
      </c>
      <c r="E32" s="20" t="s">
        <v>103</v>
      </c>
      <c r="F32" s="20" t="s">
        <v>13</v>
      </c>
      <c r="G32" s="19" t="n">
        <v>46317</v>
      </c>
      <c r="H32" s="19" t="n">
        <v>46324</v>
      </c>
      <c r="I32" s="11" t="n">
        <v>6</v>
      </c>
      <c r="J32" s="11" t="n">
        <v>6</v>
      </c>
      <c r="K32" s="13" t="n">
        <v>0.9</v>
      </c>
      <c r="L32" s="21" t="n">
        <f aca="true">IF(F32="เสร็จแล้ว","",H32-TODAY())</f>
        <v>0</v>
      </c>
      <c r="M32" s="11" t="str">
        <f aca="true">IF(F32="เสร็จแล้ว","เสร็จแล้ว",IF(H32&lt;TODAY(),"เกินกำหนด",IF(H32-TODAY()&lt;=3,"ใกล้ครบกำหนด","ปกติ")))</f>
        <v>ใกล้ครบกำหนด</v>
      </c>
      <c r="N32" s="10"/>
    </row>
    <row r="33" customFormat="false" ht="15" hidden="false" customHeight="false" outlineLevel="0" collapsed="false">
      <c r="A33" s="11" t="s">
        <v>169</v>
      </c>
      <c r="B33" s="10" t="s">
        <v>170</v>
      </c>
      <c r="C33" s="10" t="s">
        <v>171</v>
      </c>
      <c r="D33" s="10" t="s">
        <v>39</v>
      </c>
      <c r="E33" s="20" t="s">
        <v>99</v>
      </c>
      <c r="F33" s="20" t="s">
        <v>12</v>
      </c>
      <c r="G33" s="19" t="n">
        <v>46318</v>
      </c>
      <c r="H33" s="19" t="n">
        <v>46332</v>
      </c>
      <c r="I33" s="11" t="n">
        <v>12</v>
      </c>
      <c r="J33" s="11" t="n">
        <v>5</v>
      </c>
      <c r="K33" s="13" t="n">
        <v>0.4</v>
      </c>
      <c r="L33" s="21" t="n">
        <f aca="true">IF(F33="เสร็จแล้ว","",H33-TODAY())</f>
        <v>8</v>
      </c>
      <c r="M33" s="11" t="str">
        <f aca="true">IF(F33="เสร็จแล้ว","เสร็จแล้ว",IF(H33&lt;TODAY(),"เกินกำหนด",IF(H33-TODAY()&lt;=3,"ใกล้ครบกำหนด","ปกติ")))</f>
        <v>ปกติ</v>
      </c>
      <c r="N33" s="10"/>
    </row>
    <row r="34" customFormat="false" ht="15" hidden="false" customHeight="false" outlineLevel="0" collapsed="false">
      <c r="A34" s="11" t="s">
        <v>172</v>
      </c>
      <c r="B34" s="10" t="s">
        <v>170</v>
      </c>
      <c r="C34" s="10" t="s">
        <v>173</v>
      </c>
      <c r="D34" s="10" t="s">
        <v>53</v>
      </c>
      <c r="E34" s="20" t="s">
        <v>99</v>
      </c>
      <c r="F34" s="20" t="s">
        <v>11</v>
      </c>
      <c r="G34" s="19" t="n">
        <v>46327</v>
      </c>
      <c r="H34" s="19" t="n">
        <v>46346</v>
      </c>
      <c r="I34" s="11" t="n">
        <v>10</v>
      </c>
      <c r="J34" s="11" t="n">
        <v>0</v>
      </c>
      <c r="K34" s="13" t="n">
        <v>0</v>
      </c>
      <c r="L34" s="21" t="n">
        <f aca="true">IF(F34="เสร็จแล้ว","",H34-TODAY())</f>
        <v>22</v>
      </c>
      <c r="M34" s="11" t="str">
        <f aca="true">IF(F34="เสร็จแล้ว","เสร็จแล้ว",IF(H34&lt;TODAY(),"เกินกำหนด",IF(H34-TODAY()&lt;=3,"ใกล้ครบกำหนด","ปกติ")))</f>
        <v>ปกติ</v>
      </c>
      <c r="N34" s="10" t="s">
        <v>174</v>
      </c>
    </row>
    <row r="35" customFormat="false" ht="15" hidden="false" customHeight="false" outlineLevel="0" collapsed="false">
      <c r="A35" s="11" t="s">
        <v>175</v>
      </c>
      <c r="B35" s="10" t="s">
        <v>170</v>
      </c>
      <c r="C35" s="10" t="s">
        <v>176</v>
      </c>
      <c r="D35" s="10" t="s">
        <v>34</v>
      </c>
      <c r="E35" s="20" t="s">
        <v>103</v>
      </c>
      <c r="F35" s="20" t="s">
        <v>12</v>
      </c>
      <c r="G35" s="19" t="n">
        <v>46313</v>
      </c>
      <c r="H35" s="19" t="n">
        <v>46334</v>
      </c>
      <c r="I35" s="11" t="n">
        <v>16</v>
      </c>
      <c r="J35" s="11" t="n">
        <v>8</v>
      </c>
      <c r="K35" s="13" t="n">
        <v>0.5</v>
      </c>
      <c r="L35" s="21" t="n">
        <f aca="true">IF(F35="เสร็จแล้ว","",H35-TODAY())</f>
        <v>10</v>
      </c>
      <c r="M35" s="11" t="str">
        <f aca="true">IF(F35="เสร็จแล้ว","เสร็จแล้ว",IF(H35&lt;TODAY(),"เกินกำหนด",IF(H35-TODAY()&lt;=3,"ใกล้ครบกำหนด","ปกติ")))</f>
        <v>ปกติ</v>
      </c>
      <c r="N35" s="10"/>
    </row>
    <row r="36" customFormat="false" ht="15" hidden="false" customHeight="false" outlineLevel="0" collapsed="false">
      <c r="A36" s="11" t="s">
        <v>177</v>
      </c>
      <c r="B36" s="10" t="s">
        <v>170</v>
      </c>
      <c r="C36" s="10" t="s">
        <v>178</v>
      </c>
      <c r="D36" s="10" t="s">
        <v>49</v>
      </c>
      <c r="E36" s="20" t="s">
        <v>103</v>
      </c>
      <c r="F36" s="20" t="s">
        <v>11</v>
      </c>
      <c r="G36" s="19" t="n">
        <v>46336</v>
      </c>
      <c r="H36" s="19" t="n">
        <v>46344</v>
      </c>
      <c r="I36" s="11" t="n">
        <v>14</v>
      </c>
      <c r="J36" s="11" t="n">
        <v>0</v>
      </c>
      <c r="K36" s="13" t="n">
        <v>0</v>
      </c>
      <c r="L36" s="21" t="n">
        <f aca="true">IF(F36="เสร็จแล้ว","",H36-TODAY())</f>
        <v>20</v>
      </c>
      <c r="M36" s="11" t="str">
        <f aca="true">IF(F36="เสร็จแล้ว","เสร็จแล้ว",IF(H36&lt;TODAY(),"เกินกำหนด",IF(H36-TODAY()&lt;=3,"ใกล้ครบกำหนด","ปกติ")))</f>
        <v>ปกติ</v>
      </c>
      <c r="N36" s="10" t="s">
        <v>179</v>
      </c>
    </row>
    <row r="37" customFormat="false" ht="15" hidden="false" customHeight="false" outlineLevel="0" collapsed="false">
      <c r="A37" s="11" t="s">
        <v>180</v>
      </c>
      <c r="B37" s="10" t="s">
        <v>170</v>
      </c>
      <c r="C37" s="10" t="s">
        <v>181</v>
      </c>
      <c r="D37" s="10" t="s">
        <v>65</v>
      </c>
      <c r="E37" s="20" t="s">
        <v>112</v>
      </c>
      <c r="F37" s="20" t="s">
        <v>11</v>
      </c>
      <c r="G37" s="19" t="n">
        <v>46329</v>
      </c>
      <c r="H37" s="19" t="n">
        <v>46361</v>
      </c>
      <c r="I37" s="11" t="n">
        <v>18</v>
      </c>
      <c r="J37" s="11" t="n">
        <v>0</v>
      </c>
      <c r="K37" s="13" t="n">
        <v>0</v>
      </c>
      <c r="L37" s="21" t="n">
        <f aca="true">IF(F37="เสร็จแล้ว","",H37-TODAY())</f>
        <v>37</v>
      </c>
      <c r="M37" s="11" t="str">
        <f aca="true">IF(F37="เสร็จแล้ว","เสร็จแล้ว",IF(H37&lt;TODAY(),"เกินกำหนด",IF(H37-TODAY()&lt;=3,"ใกล้ครบกำหนด","ปกติ")))</f>
        <v>ปกติ</v>
      </c>
      <c r="N37" s="10"/>
    </row>
    <row r="38" customFormat="false" ht="15" hidden="false" customHeight="false" outlineLevel="0" collapsed="false">
      <c r="A38" s="11" t="s">
        <v>182</v>
      </c>
      <c r="B38" s="10" t="s">
        <v>170</v>
      </c>
      <c r="C38" s="10" t="s">
        <v>183</v>
      </c>
      <c r="D38" s="10" t="s">
        <v>78</v>
      </c>
      <c r="E38" s="20" t="s">
        <v>103</v>
      </c>
      <c r="F38" s="20" t="s">
        <v>12</v>
      </c>
      <c r="G38" s="19" t="n">
        <v>46319</v>
      </c>
      <c r="H38" s="19" t="n">
        <v>46333</v>
      </c>
      <c r="I38" s="11" t="n">
        <v>6</v>
      </c>
      <c r="J38" s="11" t="n">
        <v>2</v>
      </c>
      <c r="K38" s="13" t="n">
        <v>0.3</v>
      </c>
      <c r="L38" s="21" t="n">
        <f aca="true">IF(F38="เสร็จแล้ว","",H38-TODAY())</f>
        <v>9</v>
      </c>
      <c r="M38" s="11" t="str">
        <f aca="true">IF(F38="เสร็จแล้ว","เสร็จแล้ว",IF(H38&lt;TODAY(),"เกินกำหนด",IF(H38-TODAY()&lt;=3,"ใกล้ครบกำหนด","ปกติ")))</f>
        <v>ปกติ</v>
      </c>
      <c r="N38" s="10"/>
    </row>
    <row r="39" customFormat="false" ht="15" hidden="false" customHeight="false" outlineLevel="0" collapsed="false">
      <c r="A39" s="11" t="s">
        <v>184</v>
      </c>
      <c r="B39" s="10" t="s">
        <v>185</v>
      </c>
      <c r="C39" s="10" t="s">
        <v>186</v>
      </c>
      <c r="D39" s="10" t="s">
        <v>44</v>
      </c>
      <c r="E39" s="20" t="s">
        <v>103</v>
      </c>
      <c r="F39" s="20" t="s">
        <v>14</v>
      </c>
      <c r="G39" s="19" t="n">
        <v>46297</v>
      </c>
      <c r="H39" s="19" t="n">
        <v>46304</v>
      </c>
      <c r="I39" s="11" t="n">
        <v>10</v>
      </c>
      <c r="J39" s="11" t="n">
        <v>10</v>
      </c>
      <c r="K39" s="13" t="n">
        <v>1</v>
      </c>
      <c r="L39" s="21" t="str">
        <f aca="true">IF(F39="เสร็จแล้ว","",H39-TODAY())</f>
        <v/>
      </c>
      <c r="M39" s="11" t="str">
        <f aca="true">IF(F39="เสร็จแล้ว","เสร็จแล้ว",IF(H39&lt;TODAY(),"เกินกำหนด",IF(H39-TODAY()&lt;=3,"ใกล้ครบกำหนด","ปกติ")))</f>
        <v>เสร็จแล้ว</v>
      </c>
      <c r="N39" s="10"/>
    </row>
    <row r="40" customFormat="false" ht="15" hidden="false" customHeight="false" outlineLevel="0" collapsed="false">
      <c r="A40" s="11" t="s">
        <v>187</v>
      </c>
      <c r="B40" s="10" t="s">
        <v>185</v>
      </c>
      <c r="C40" s="10" t="s">
        <v>188</v>
      </c>
      <c r="D40" s="10" t="s">
        <v>61</v>
      </c>
      <c r="E40" s="20" t="s">
        <v>112</v>
      </c>
      <c r="F40" s="20" t="s">
        <v>14</v>
      </c>
      <c r="G40" s="19" t="n">
        <v>46299</v>
      </c>
      <c r="H40" s="19" t="n">
        <v>46301</v>
      </c>
      <c r="I40" s="11" t="n">
        <v>3</v>
      </c>
      <c r="J40" s="11" t="n">
        <v>3</v>
      </c>
      <c r="K40" s="13" t="n">
        <v>1</v>
      </c>
      <c r="L40" s="21" t="str">
        <f aca="true">IF(F40="เสร็จแล้ว","",H40-TODAY())</f>
        <v/>
      </c>
      <c r="M40" s="11" t="str">
        <f aca="true">IF(F40="เสร็จแล้ว","เสร็จแล้ว",IF(H40&lt;TODAY(),"เกินกำหนด",IF(H40-TODAY()&lt;=3,"ใกล้ครบกำหนด","ปกติ")))</f>
        <v>เสร็จแล้ว</v>
      </c>
      <c r="N40" s="10"/>
    </row>
    <row r="41" customFormat="false" ht="15" hidden="false" customHeight="false" outlineLevel="0" collapsed="false">
      <c r="A41" s="11" t="s">
        <v>189</v>
      </c>
      <c r="B41" s="10" t="s">
        <v>185</v>
      </c>
      <c r="C41" s="10" t="s">
        <v>190</v>
      </c>
      <c r="D41" s="10" t="s">
        <v>69</v>
      </c>
      <c r="E41" s="20" t="s">
        <v>103</v>
      </c>
      <c r="F41" s="20" t="s">
        <v>12</v>
      </c>
      <c r="G41" s="19" t="n">
        <v>46320</v>
      </c>
      <c r="H41" s="19" t="n">
        <v>46328</v>
      </c>
      <c r="I41" s="11" t="n">
        <v>8</v>
      </c>
      <c r="J41" s="11" t="n">
        <v>4</v>
      </c>
      <c r="K41" s="13" t="n">
        <v>0.5</v>
      </c>
      <c r="L41" s="21" t="n">
        <f aca="true">IF(F41="เสร็จแล้ว","",H41-TODAY())</f>
        <v>4</v>
      </c>
      <c r="M41" s="11" t="str">
        <f aca="true">IF(F41="เสร็จแล้ว","เสร็จแล้ว",IF(H41&lt;TODAY(),"เกินกำหนด",IF(H41-TODAY()&lt;=3,"ใกล้ครบกำหนด","ปกติ")))</f>
        <v>ปกติ</v>
      </c>
      <c r="N41" s="10"/>
    </row>
    <row r="42" customFormat="false" ht="15" hidden="false" customHeight="false" outlineLevel="0" collapsed="false">
      <c r="A42" s="11" t="s">
        <v>191</v>
      </c>
      <c r="B42" s="10" t="s">
        <v>185</v>
      </c>
      <c r="C42" s="10" t="s">
        <v>192</v>
      </c>
      <c r="D42" s="10" t="s">
        <v>69</v>
      </c>
      <c r="E42" s="20" t="s">
        <v>99</v>
      </c>
      <c r="F42" s="20" t="s">
        <v>193</v>
      </c>
      <c r="G42" s="19" t="n">
        <v>46308</v>
      </c>
      <c r="H42" s="19" t="n">
        <v>46326</v>
      </c>
      <c r="I42" s="11" t="n">
        <v>12</v>
      </c>
      <c r="J42" s="11" t="n">
        <v>3</v>
      </c>
      <c r="K42" s="13" t="n">
        <v>0.2</v>
      </c>
      <c r="L42" s="21" t="n">
        <f aca="true">IF(F42="เสร็จแล้ว","",H42-TODAY())</f>
        <v>2</v>
      </c>
      <c r="M42" s="11" t="str">
        <f aca="true">IF(F42="เสร็จแล้ว","เสร็จแล้ว",IF(H42&lt;TODAY(),"เกินกำหนด",IF(H42-TODAY()&lt;=3,"ใกล้ครบกำหนด","ปกติ")))</f>
        <v>ใกล้ครบกำหนด</v>
      </c>
      <c r="N42" s="10" t="s">
        <v>194</v>
      </c>
    </row>
    <row r="43" customFormat="false" ht="15" hidden="false" customHeight="false" outlineLevel="0" collapsed="false">
      <c r="A43" s="11" t="s">
        <v>195</v>
      </c>
      <c r="B43" s="10" t="s">
        <v>185</v>
      </c>
      <c r="C43" s="10" t="s">
        <v>196</v>
      </c>
      <c r="D43" s="10" t="s">
        <v>78</v>
      </c>
      <c r="E43" s="20" t="s">
        <v>103</v>
      </c>
      <c r="F43" s="20" t="s">
        <v>11</v>
      </c>
      <c r="G43" s="19" t="n">
        <v>46327</v>
      </c>
      <c r="H43" s="19" t="n">
        <v>46334</v>
      </c>
      <c r="I43" s="11" t="n">
        <v>6</v>
      </c>
      <c r="J43" s="11" t="n">
        <v>0</v>
      </c>
      <c r="K43" s="13" t="n">
        <v>0</v>
      </c>
      <c r="L43" s="21" t="n">
        <f aca="true">IF(F43="เสร็จแล้ว","",H43-TODAY())</f>
        <v>10</v>
      </c>
      <c r="M43" s="11" t="str">
        <f aca="true">IF(F43="เสร็จแล้ว","เสร็จแล้ว",IF(H43&lt;TODAY(),"เกินกำหนด",IF(H43-TODAY()&lt;=3,"ใกล้ครบกำหนด","ปกติ")))</f>
        <v>ปกติ</v>
      </c>
      <c r="N43" s="10" t="s">
        <v>197</v>
      </c>
    </row>
    <row r="44" customFormat="false" ht="15" hidden="false" customHeight="false" outlineLevel="0" collapsed="false">
      <c r="A44" s="11" t="s">
        <v>198</v>
      </c>
      <c r="B44" s="10" t="s">
        <v>185</v>
      </c>
      <c r="C44" s="10" t="s">
        <v>199</v>
      </c>
      <c r="D44" s="10" t="s">
        <v>39</v>
      </c>
      <c r="E44" s="20" t="s">
        <v>112</v>
      </c>
      <c r="F44" s="20" t="s">
        <v>11</v>
      </c>
      <c r="G44" s="19" t="n">
        <v>46334</v>
      </c>
      <c r="H44" s="19" t="n">
        <v>46341</v>
      </c>
      <c r="I44" s="11" t="n">
        <v>6</v>
      </c>
      <c r="J44" s="11" t="n">
        <v>0</v>
      </c>
      <c r="K44" s="13" t="n">
        <v>0</v>
      </c>
      <c r="L44" s="21" t="n">
        <f aca="true">IF(F44="เสร็จแล้ว","",H44-TODAY())</f>
        <v>17</v>
      </c>
      <c r="M44" s="11" t="str">
        <f aca="true">IF(F44="เสร็จแล้ว","เสร็จแล้ว",IF(H44&lt;TODAY(),"เกินกำหนด",IF(H44-TODAY()&lt;=3,"ใกล้ครบกำหนด","ปกติ")))</f>
        <v>ปกติ</v>
      </c>
      <c r="N44" s="10"/>
    </row>
    <row r="45" customFormat="false" ht="15" hidden="false" customHeight="false" outlineLevel="0" collapsed="false">
      <c r="A45" s="11" t="s">
        <v>200</v>
      </c>
      <c r="B45" s="10" t="s">
        <v>201</v>
      </c>
      <c r="C45" s="10" t="s">
        <v>202</v>
      </c>
      <c r="D45" s="10" t="s">
        <v>34</v>
      </c>
      <c r="E45" s="20" t="s">
        <v>103</v>
      </c>
      <c r="F45" s="20" t="s">
        <v>12</v>
      </c>
      <c r="G45" s="19" t="n">
        <v>46296</v>
      </c>
      <c r="H45" s="19" t="n">
        <v>46387</v>
      </c>
      <c r="I45" s="11" t="n">
        <v>24</v>
      </c>
      <c r="J45" s="11" t="n">
        <v>20</v>
      </c>
      <c r="K45" s="13" t="n">
        <v>0.7</v>
      </c>
      <c r="L45" s="21" t="n">
        <f aca="true">IF(F45="เสร็จแล้ว","",H45-TODAY())</f>
        <v>63</v>
      </c>
      <c r="M45" s="11" t="str">
        <f aca="true">IF(F45="เสร็จแล้ว","เสร็จแล้ว",IF(H45&lt;TODAY(),"เกินกำหนด",IF(H45-TODAY()&lt;=3,"ใกล้ครบกำหนด","ปกติ")))</f>
        <v>ปกติ</v>
      </c>
      <c r="N45" s="10" t="s">
        <v>203</v>
      </c>
    </row>
    <row r="46" customFormat="false" ht="15" hidden="false" customHeight="false" outlineLevel="0" collapsed="false">
      <c r="A46" s="11" t="s">
        <v>204</v>
      </c>
      <c r="B46" s="10" t="s">
        <v>201</v>
      </c>
      <c r="C46" s="10" t="s">
        <v>205</v>
      </c>
      <c r="D46" s="10" t="s">
        <v>57</v>
      </c>
      <c r="E46" s="20" t="s">
        <v>112</v>
      </c>
      <c r="F46" s="20" t="s">
        <v>14</v>
      </c>
      <c r="G46" s="19" t="n">
        <v>46300</v>
      </c>
      <c r="H46" s="19" t="n">
        <v>46307</v>
      </c>
      <c r="I46" s="11" t="n">
        <v>5</v>
      </c>
      <c r="J46" s="11" t="n">
        <v>6</v>
      </c>
      <c r="K46" s="13" t="n">
        <v>1</v>
      </c>
      <c r="L46" s="21" t="str">
        <f aca="true">IF(F46="เสร็จแล้ว","",H46-TODAY())</f>
        <v/>
      </c>
      <c r="M46" s="11" t="str">
        <f aca="true">IF(F46="เสร็จแล้ว","เสร็จแล้ว",IF(H46&lt;TODAY(),"เกินกำหนด",IF(H46-TODAY()&lt;=3,"ใกล้ครบกำหนด","ปกติ")))</f>
        <v>เสร็จแล้ว</v>
      </c>
      <c r="N46" s="10"/>
    </row>
    <row r="47" customFormat="false" ht="15" hidden="false" customHeight="false" outlineLevel="0" collapsed="false">
      <c r="A47" s="11" t="s">
        <v>206</v>
      </c>
      <c r="B47" s="10" t="s">
        <v>201</v>
      </c>
      <c r="C47" s="10" t="s">
        <v>207</v>
      </c>
      <c r="D47" s="10" t="s">
        <v>65</v>
      </c>
      <c r="E47" s="20" t="s">
        <v>103</v>
      </c>
      <c r="F47" s="20" t="s">
        <v>13</v>
      </c>
      <c r="G47" s="19" t="n">
        <v>46309</v>
      </c>
      <c r="H47" s="19" t="n">
        <v>46322</v>
      </c>
      <c r="I47" s="11" t="n">
        <v>10</v>
      </c>
      <c r="J47" s="11" t="n">
        <v>11</v>
      </c>
      <c r="K47" s="13" t="n">
        <v>0.9</v>
      </c>
      <c r="L47" s="21" t="n">
        <f aca="true">IF(F47="เสร็จแล้ว","",H47-TODAY())</f>
        <v>-2</v>
      </c>
      <c r="M47" s="11" t="str">
        <f aca="true">IF(F47="เสร็จแล้ว","เสร็จแล้ว",IF(H47&lt;TODAY(),"เกินกำหนด",IF(H47-TODAY()&lt;=3,"ใกล้ครบกำหนด","ปกติ")))</f>
        <v>เกินกำหนด</v>
      </c>
      <c r="N47" s="10" t="s">
        <v>208</v>
      </c>
    </row>
    <row r="48" customFormat="false" ht="15" hidden="false" customHeight="false" outlineLevel="0" collapsed="false">
      <c r="A48" s="11" t="s">
        <v>209</v>
      </c>
      <c r="B48" s="10" t="s">
        <v>201</v>
      </c>
      <c r="C48" s="10" t="s">
        <v>210</v>
      </c>
      <c r="D48" s="10" t="s">
        <v>49</v>
      </c>
      <c r="E48" s="20" t="s">
        <v>112</v>
      </c>
      <c r="F48" s="20" t="s">
        <v>11</v>
      </c>
      <c r="G48" s="19" t="n">
        <v>46338</v>
      </c>
      <c r="H48" s="19" t="n">
        <v>46339</v>
      </c>
      <c r="I48" s="11" t="n">
        <v>4</v>
      </c>
      <c r="J48" s="11" t="n">
        <v>0</v>
      </c>
      <c r="K48" s="13" t="n">
        <v>0</v>
      </c>
      <c r="L48" s="21" t="n">
        <f aca="true">IF(F48="เสร็จแล้ว","",H48-TODAY())</f>
        <v>15</v>
      </c>
      <c r="M48" s="11" t="str">
        <f aca="true">IF(F48="เสร็จแล้ว","เสร็จแล้ว",IF(H48&lt;TODAY(),"เกินกำหนด",IF(H48-TODAY()&lt;=3,"ใกล้ครบกำหนด","ปกติ")))</f>
        <v>ปกติ</v>
      </c>
      <c r="N48" s="10"/>
    </row>
    <row r="49" customFormat="false" ht="15" hidden="false" customHeight="false" outlineLevel="0" collapsed="false">
      <c r="A49" s="11" t="s">
        <v>211</v>
      </c>
      <c r="B49" s="10" t="s">
        <v>201</v>
      </c>
      <c r="C49" s="10" t="s">
        <v>212</v>
      </c>
      <c r="D49" s="10" t="s">
        <v>53</v>
      </c>
      <c r="E49" s="20" t="s">
        <v>103</v>
      </c>
      <c r="F49" s="20" t="s">
        <v>12</v>
      </c>
      <c r="G49" s="19" t="n">
        <v>46321</v>
      </c>
      <c r="H49" s="19" t="n">
        <v>46328</v>
      </c>
      <c r="I49" s="11" t="n">
        <v>6</v>
      </c>
      <c r="J49" s="11" t="n">
        <v>3</v>
      </c>
      <c r="K49" s="13" t="n">
        <v>0.5</v>
      </c>
      <c r="L49" s="21" t="n">
        <f aca="true">IF(F49="เสร็จแล้ว","",H49-TODAY())</f>
        <v>4</v>
      </c>
      <c r="M49" s="11" t="str">
        <f aca="true">IF(F49="เสร็จแล้ว","เสร็จแล้ว",IF(H49&lt;TODAY(),"เกินกำหนด",IF(H49-TODAY()&lt;=3,"ใกล้ครบกำหนด","ปกติ")))</f>
        <v>ปกติ</v>
      </c>
      <c r="N49" s="10"/>
    </row>
    <row r="50" customFormat="false" ht="15" hidden="false" customHeight="false" outlineLevel="0" collapsed="false">
      <c r="A50" s="11" t="s">
        <v>213</v>
      </c>
      <c r="B50" s="10" t="s">
        <v>201</v>
      </c>
      <c r="C50" s="10" t="s">
        <v>214</v>
      </c>
      <c r="D50" s="10" t="s">
        <v>34</v>
      </c>
      <c r="E50" s="20" t="s">
        <v>99</v>
      </c>
      <c r="F50" s="20" t="s">
        <v>11</v>
      </c>
      <c r="G50" s="19" t="n">
        <v>46357</v>
      </c>
      <c r="H50" s="19" t="n">
        <v>46371</v>
      </c>
      <c r="I50" s="11" t="n">
        <v>12</v>
      </c>
      <c r="J50" s="11" t="n">
        <v>0</v>
      </c>
      <c r="K50" s="13" t="n">
        <v>0</v>
      </c>
      <c r="L50" s="21" t="n">
        <f aca="true">IF(F50="เสร็จแล้ว","",H50-TODAY())</f>
        <v>47</v>
      </c>
      <c r="M50" s="11" t="str">
        <f aca="true">IF(F50="เสร็จแล้ว","เสร็จแล้ว",IF(H50&lt;TODAY(),"เกินกำหนด",IF(H50-TODAY()&lt;=3,"ใกล้ครบกำหนด","ปกติ")))</f>
        <v>ปกติ</v>
      </c>
      <c r="N50" s="10"/>
    </row>
  </sheetData>
  <autoFilter ref="A4:N50"/>
  <conditionalFormatting sqref="M5:M50">
    <cfRule type="cellIs" priority="2" operator="equal" aboveAverage="0" equalAverage="0" bottom="0" percent="0" rank="0" text="" dxfId="0">
      <formula>"เกินกำหนด"</formula>
    </cfRule>
    <cfRule type="cellIs" priority="3" operator="equal" aboveAverage="0" equalAverage="0" bottom="0" percent="0" rank="0" text="" dxfId="7">
      <formula>"ใกล้ครบกำหนด"</formula>
    </cfRule>
    <cfRule type="cellIs" priority="4" operator="equal" aboveAverage="0" equalAverage="0" bottom="0" percent="0" rank="0" text="" dxfId="8">
      <formula>"เสร็จแล้ว"</formula>
    </cfRule>
  </conditionalFormatting>
  <dataValidations count="3">
    <dataValidation allowBlank="true" errorStyle="stop" operator="between" showDropDown="false" showErrorMessage="false" showInputMessage="false" sqref="D5:D300" type="list">
      <formula1>ทีมงาน!$B$5:$B$15</formula1>
      <formula2>0</formula2>
    </dataValidation>
    <dataValidation allowBlank="true" errorStyle="stop" operator="between" showDropDown="false" showErrorMessage="false" showInputMessage="false" sqref="E5:E300" type="list">
      <formula1>"สูง,กลาง,ต่ำ"</formula1>
      <formula2>0</formula2>
    </dataValidation>
    <dataValidation allowBlank="true" errorStyle="stop" operator="between" showDropDown="false" showErrorMessage="false" showInputMessage="false" sqref="F5:F300" type="list">
      <formula1>"ยังไม่เริ่ม,กำลังดำเนินการ,รอตรวจ,เสร็จแล้ว,ระงับ"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2026-10-29T03:51:59Z</dcterms:created>
  <dc:creator>openpyxl</dc:creator>
  <dc:description/>
  <dc:language>en-US</dc:language>
  <cp:lastModifiedBy/>
  <dcterms:modified xsi:type="dcterms:W3CDTF">2026-10-29T03:51:59Z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